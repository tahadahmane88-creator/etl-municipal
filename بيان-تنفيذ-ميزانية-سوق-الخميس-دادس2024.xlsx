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290" yWindow="490" windowWidth="18640" windowHeight="8740" activeTab="2"/>
  </bookViews>
  <sheets>
    <sheet name="قائمة الموارد المالية" sheetId="2" r:id="rId1"/>
    <sheet name="قائمة مصاريف التسيير" sheetId="3" r:id="rId2"/>
    <sheet name="قائمة مصاريف التجهيز" sheetId="4" r:id="rId3"/>
  </sheets>
  <definedNames>
    <definedName name="_xlnm.Print_Area" localSheetId="0">'قائمة الموارد المالية'!$A$1:$I$101</definedName>
    <definedName name="_xlnm.Print_Area" localSheetId="2">'قائمة مصاريف التجهيز'!$A$1:$K$52</definedName>
    <definedName name="_xlnm.Print_Area" localSheetId="1">'قائمة مصاريف التسيير'!$A$1:$J$86</definedName>
  </definedNames>
  <calcPr calcId="999999"/>
</workbook>
</file>

<file path=xl/calcChain.xml><?xml version="1.0" encoding="utf-8"?>
<calcChain xmlns="http://schemas.openxmlformats.org/spreadsheetml/2006/main">
  <c r="L56" i="4" l="1"/>
  <c r="I56" i="4"/>
  <c r="H55" i="4"/>
  <c r="M50" i="4"/>
  <c r="M48" i="4"/>
  <c r="M47" i="4"/>
  <c r="M46" i="4"/>
  <c r="M45" i="4"/>
  <c r="G5" i="4"/>
  <c r="G4" i="4"/>
  <c r="G3" i="4"/>
  <c r="G2" i="4"/>
  <c r="G1" i="4"/>
  <c r="G5" i="3"/>
  <c r="G4" i="3"/>
  <c r="G3" i="3"/>
  <c r="G2" i="3"/>
  <c r="G1" i="3"/>
  <c r="E91" i="2"/>
  <c r="D91" i="2"/>
  <c r="C91" i="2"/>
  <c r="B91" i="2"/>
  <c r="A91" i="2"/>
  <c r="F90" i="2"/>
  <c r="E90" i="2"/>
  <c r="D90" i="2"/>
  <c r="C90" i="2"/>
  <c r="B90" i="2"/>
  <c r="F89" i="2"/>
  <c r="E89" i="2"/>
  <c r="D89" i="2"/>
  <c r="C89" i="2"/>
  <c r="B89" i="2"/>
  <c r="F88" i="2"/>
  <c r="D88" i="2"/>
  <c r="C88" i="2"/>
  <c r="A88" i="2"/>
  <c r="E87" i="2"/>
  <c r="D87" i="2"/>
  <c r="C87" i="2"/>
  <c r="A87" i="2"/>
  <c r="E86" i="2"/>
  <c r="D86" i="2"/>
  <c r="C86" i="2"/>
  <c r="A86" i="2"/>
</calcChain>
</file>

<file path=xl/sharedStrings.xml><?xml version="1.0" encoding="utf-8"?>
<sst xmlns="http://schemas.openxmlformats.org/spreadsheetml/2006/main" count="337" uniqueCount="243">
  <si>
    <t>المملكة المغربية</t>
  </si>
  <si>
    <t>وزارة الداخلية</t>
  </si>
  <si>
    <t>جهة درعة تافيلالت</t>
  </si>
  <si>
    <t xml:space="preserve">    إقـليــم تــنــغيــر</t>
  </si>
  <si>
    <t xml:space="preserve"> جماعة سوق الخميس دادس</t>
  </si>
  <si>
    <t>قائمة الموارد المالية</t>
  </si>
  <si>
    <t>برسم سنة 2024</t>
  </si>
  <si>
    <t>الجزء الاول :  المداخيل</t>
  </si>
  <si>
    <t>نسبة التحصيل</t>
  </si>
  <si>
    <t>الموارد المالية التي لم يتم تحصيلها</t>
  </si>
  <si>
    <t>الموارد المالية التي تم تحصيلها</t>
  </si>
  <si>
    <t>الصافي من المداخيل المقررة</t>
  </si>
  <si>
    <t>المسجل بالميزانية</t>
  </si>
  <si>
    <t>نوع المدخول المالي</t>
  </si>
  <si>
    <t xml:space="preserve"> رسم تصديق الإمضاء والإشهاد بالتطابق</t>
  </si>
  <si>
    <t>00-10</t>
  </si>
  <si>
    <t>10-11</t>
  </si>
  <si>
    <t xml:space="preserve"> رسوم الحالة المدنية</t>
  </si>
  <si>
    <t>30-31</t>
  </si>
  <si>
    <t xml:space="preserve"> ترقيم العقارات</t>
  </si>
  <si>
    <t>00-20</t>
  </si>
  <si>
    <t xml:space="preserve"> تسجيل بيع البهائم</t>
  </si>
  <si>
    <t xml:space="preserve"> صوائر أبحاث المنافع والمضار</t>
  </si>
  <si>
    <t xml:space="preserve"> منتوج بيع أثاث وأدوات ومواد استغني عنها</t>
  </si>
  <si>
    <t>00-30</t>
  </si>
  <si>
    <t>منتوج بيع التصاميم والمطبوعات وملفات المزايدة</t>
  </si>
  <si>
    <t>منتوج بيع الحيوانات والأشياء المحجوزة والتي لم تسحب داخل الآجال  المحددة</t>
  </si>
  <si>
    <t>المتحصل من الدعائر الجبائية و التراضي فيما يتعلق بالضرائب</t>
  </si>
  <si>
    <t>00-40</t>
  </si>
  <si>
    <t>النسبة المئوية المقبوضة في البيوعات العمومية</t>
  </si>
  <si>
    <t>اقتطاع من المداخيل المحققة لفائدة الغير</t>
  </si>
  <si>
    <t>رسم المحجز</t>
  </si>
  <si>
    <t>30-32</t>
  </si>
  <si>
    <t>حصة من منتوج الضريبة على القيمة المضافة</t>
  </si>
  <si>
    <t>00-50</t>
  </si>
  <si>
    <t>حق الإمتياز في مصلحة سيارة الإسعاف الجماعية</t>
  </si>
  <si>
    <t>استرجاع صوائر النقل بواسطة سيارة الإسعاف</t>
  </si>
  <si>
    <t>مدخول مصلحة إفراغ حفرات المراحيض وتنظيف القنوات</t>
  </si>
  <si>
    <t>الإتصال بشبكة الماء الحار</t>
  </si>
  <si>
    <t>استرجاع صوائر التنظيف</t>
  </si>
  <si>
    <t xml:space="preserve"> ما يؤدى للجماعة لأجل أشغال متعلقة بالصحة العمومية  أو الأمن العام أجرتها على نفقة ملاكين قاصرين</t>
  </si>
  <si>
    <t>مدخول الخزانة الجماعية</t>
  </si>
  <si>
    <t>الرسم المفروض على الإقامة في المؤسسات السياحية</t>
  </si>
  <si>
    <t>الضريبة المفروضة على الملاهي</t>
  </si>
  <si>
    <t>ضريبة المباني</t>
  </si>
  <si>
    <t>ضريبة الصيانة المفروضة على الأملاك الخاضعة لضريبة المباني</t>
  </si>
  <si>
    <t>10-12</t>
  </si>
  <si>
    <t>الضريبة على الأراضي الحضرية غير المبنية</t>
  </si>
  <si>
    <t>10-14</t>
  </si>
  <si>
    <t>الضريبة على عمليات البناء</t>
  </si>
  <si>
    <t>10-15</t>
  </si>
  <si>
    <t>الضريبة على عمليات تجزئة الأراضي</t>
  </si>
  <si>
    <t>10-16</t>
  </si>
  <si>
    <t xml:space="preserve">رسم السكن </t>
  </si>
  <si>
    <t>10-18</t>
  </si>
  <si>
    <t>رسم الخدمات الجماعية</t>
  </si>
  <si>
    <t>10-19</t>
  </si>
  <si>
    <t>حصة من منتوج الرسم على الخدمات الجماعية</t>
  </si>
  <si>
    <t>10-20</t>
  </si>
  <si>
    <t>الرسم المفروض على شغل الأملاك الجماعية العامة مؤقتا لأغراض  ترتبط بالبناء</t>
  </si>
  <si>
    <t>منتوج كراء بنايات للسكنى</t>
  </si>
  <si>
    <t>الرسم المترتب على اتلاف الطرق</t>
  </si>
  <si>
    <t>حق الإمتياز في نقل الأموات</t>
  </si>
  <si>
    <t>رسوم رفع نفايات الحدائق وبقايا المواد الصناعية ومواد البناء المتروكة على الطريق العمومية </t>
  </si>
  <si>
    <t>منتوج مصلحة نقل الاموات</t>
  </si>
  <si>
    <t>الضريبة على محال بيع المشروبات</t>
  </si>
  <si>
    <t>الرسم المترتب على السماح بإغلاق بعض الامحلات العامة بعم الميعاد المحدد او بفتحها قبله</t>
  </si>
  <si>
    <t>00-11</t>
  </si>
  <si>
    <t>الرسم المفروض على الباعة الجائلين</t>
  </si>
  <si>
    <t>10-13</t>
  </si>
  <si>
    <t>الرسم المفروض على استخراج مواد المقالع</t>
  </si>
  <si>
    <t>ضريبة التجارة</t>
  </si>
  <si>
    <t>ضريبة الذبح</t>
  </si>
  <si>
    <t>الرسم المهني</t>
  </si>
  <si>
    <t>10-25</t>
  </si>
  <si>
    <t>منتوج الرسم المفروض على استخراج مواد المقالع</t>
  </si>
  <si>
    <t>10-26</t>
  </si>
  <si>
    <t>واجبات مقبوضة في الأسواق وساحات البيع العمومية </t>
  </si>
  <si>
    <t>واجبات أسواق البهائم</t>
  </si>
  <si>
    <t>واجبات الوقوف والدخول إلى الأسواق الأسبوعية</t>
  </si>
  <si>
    <t>واجبات مقبوضة بساحات أخرى للبيع العمومي</t>
  </si>
  <si>
    <t>منتوج كراء واستغلال مواد في حوزة الجماعة</t>
  </si>
  <si>
    <t>منتوج كراء محلات تجارية أو مخصصة لمزاولة نشاط مهني</t>
  </si>
  <si>
    <t>منتوج إيجار الأسواق الجماعية</t>
  </si>
  <si>
    <t>حق الإمتياز في توزيع الماء العذب</t>
  </si>
  <si>
    <t>محاصيل امتيازات أخرى</t>
  </si>
  <si>
    <t>الرسم المفروض على شغل الأملاك الجماعية العامة مؤقتا لأغراض تجارية أو صناعية أو مهنية </t>
  </si>
  <si>
    <t>الرسم المفروض على شغل الأملاك الجماعية مؤقتا بمنقولات  أو عقارات ترتبط بممارسة أعمال تجارية أو صناعية أو مهنية</t>
  </si>
  <si>
    <t>رسوم قلع الحيوانات الميتة</t>
  </si>
  <si>
    <t>الرسم المفروض على فحص لحوم الذبح الإستثنائي</t>
  </si>
  <si>
    <t>30-34</t>
  </si>
  <si>
    <t>رسوم مغسل الأمعاء</t>
  </si>
  <si>
    <t>رسوم التبريد</t>
  </si>
  <si>
    <t>رسوم الربط بالإسطبل</t>
  </si>
  <si>
    <t>منتوج الموازين العمومية وضريبة الوزن والكيل</t>
  </si>
  <si>
    <t>منتوج استغلال مصلحة المياه</t>
  </si>
  <si>
    <t>الرسم المفروض على استغلال رخص سيارات الأجرة وحافلات النقل  العام  للمسافرين</t>
  </si>
  <si>
    <t>الرسم على النقل العمومي للمسافرين</t>
  </si>
  <si>
    <t>حق الإمتياز في نقل اللحوم</t>
  </si>
  <si>
    <t>حق الإمتياز في استغلال ساحات و أماكن الوقوف</t>
  </si>
  <si>
    <t>منتوج المحطة الطرقية</t>
  </si>
  <si>
    <t>منتوج محطات وقوف الدراجات والسيارات</t>
  </si>
  <si>
    <t>واجبات الوقوف المترتبة عن السيارات المخصصة  للنقل  العمومي  للمسافرين</t>
  </si>
  <si>
    <t xml:space="preserve"> </t>
  </si>
  <si>
    <t>منتوج فائدة الأموال المودعة بالخزينة</t>
  </si>
  <si>
    <t>انذارات مرسمة</t>
  </si>
  <si>
    <t>مداخيل مختلفة وطارئة</t>
  </si>
  <si>
    <t>تحويل من الجزء الثاني من الميزانية</t>
  </si>
  <si>
    <t>المجموع العام</t>
  </si>
  <si>
    <t>الجزء الثاني : المداخيل</t>
  </si>
  <si>
    <t>فائض مداخيل الجزء الأول من الميزانية</t>
  </si>
  <si>
    <t>فائض مداخيل السنة المنصرمة</t>
  </si>
  <si>
    <t>حرربسوق الخميس دادس بتاريخ 2019/12/31</t>
  </si>
  <si>
    <t xml:space="preserve">             تأشيرة المحاسب المختص لميزانية جماعة سوق الخميس دادس</t>
  </si>
  <si>
    <t>رئيس جماعة سوق الخميس دادس</t>
  </si>
  <si>
    <t>قائمة مصاريف التسيير</t>
  </si>
  <si>
    <t>الإعتمادات المنقولة</t>
  </si>
  <si>
    <t>الإعتمادات الملغاة</t>
  </si>
  <si>
    <t>الحوالات الصادرة و المؤشر عليها</t>
  </si>
  <si>
    <t>المصاريف الملتزم بها</t>
  </si>
  <si>
    <t>مجموع الإعتمادات المفتوحة</t>
  </si>
  <si>
    <t>نوع المصاريف</t>
  </si>
  <si>
    <t>تعويضات للرئيس، ولذوي الحق من المستشارين</t>
  </si>
  <si>
    <t>مصاريف نقل الرئيس والمستشارين داخل المملكة</t>
  </si>
  <si>
    <t>مصاريف تنقل الرئيس والمستشارين داخل المملكة</t>
  </si>
  <si>
    <t>مصاريف تأمين الأعضاء</t>
  </si>
  <si>
    <t>شراء عتاد صغير للتزيين</t>
  </si>
  <si>
    <t>مصاريف الإقامة والإطعام والإستقبال</t>
  </si>
  <si>
    <t>اشتراك في الجرائد الرسمية والجرائد والمجلات</t>
  </si>
  <si>
    <t>الرواتب  والتعويضات  القارة  للموظفين  الرسميين   ومتلائمهم</t>
  </si>
  <si>
    <t>أجور الأعوان العرضيين</t>
  </si>
  <si>
    <t>تعويضات عن الأشغال الإضافية</t>
  </si>
  <si>
    <t>تعويضات عن الصندوق</t>
  </si>
  <si>
    <t>التعويضات عن الأشغال الشاقة والموسخة</t>
  </si>
  <si>
    <t>تعويضات عن المسؤولية</t>
  </si>
  <si>
    <t>تعويضات عن الإشراف على المباريات والامتحانات</t>
  </si>
  <si>
    <t>مساهمة أرباب العمل في الصندوق المغربي للتقاعد</t>
  </si>
  <si>
    <t>المساهمات في النظام الجماعي لمنح رواتب التقاعد</t>
  </si>
  <si>
    <t>المساهمات في منظمات الإحتياط الإجتماعي </t>
  </si>
  <si>
    <t>التعويض عن الولادة</t>
  </si>
  <si>
    <t>تأمين اليد العاملة</t>
  </si>
  <si>
    <t>لباس الأعوان المستخدمين</t>
  </si>
  <si>
    <t>مصاريف التنقل داخل المملكة</t>
  </si>
  <si>
    <t>مصاريف التداريب</t>
  </si>
  <si>
    <t>اكتراء اليات النقل و اليات اخرى</t>
  </si>
  <si>
    <t>الصيانة والمحافظة على البنايات الإدارية</t>
  </si>
  <si>
    <t>الصيانة والإصلاح الإعتيادي للعتاد المعلوماتي</t>
  </si>
  <si>
    <t>الصيانة الإعتيادية لعتاد وأثات المكاتب</t>
  </si>
  <si>
    <t>لوازم المكتب ، مواد الطباعة ، أوراق ومطبوعات </t>
  </si>
  <si>
    <t>لوازم العتاد التقني والمعلوماتي</t>
  </si>
  <si>
    <t>شراء الوقود والزيوت </t>
  </si>
  <si>
    <t>قطع الغيار والإطارات المطاطية للسيارات والآليات</t>
  </si>
  <si>
    <t>صيانة وإصلاح السيارات والآليات</t>
  </si>
  <si>
    <t>مصاريف تأمين السيارات والآليات </t>
  </si>
  <si>
    <t>الضريبة الخاصة على السيارات</t>
  </si>
  <si>
    <t>شراء الصباغة</t>
  </si>
  <si>
    <t>شراء العتاد الكهربائي الصغير</t>
  </si>
  <si>
    <t>شراء المواد المطهرة</t>
  </si>
  <si>
    <t xml:space="preserve">شراء مداد طبع اللحوم </t>
  </si>
  <si>
    <t>أتعاب </t>
  </si>
  <si>
    <t>مصاريف تهيئ لوائح اجور الموظفين من طرف مؤسسات اخرى</t>
  </si>
  <si>
    <t>مصاريف مختلفة للخدمات الرقمية</t>
  </si>
  <si>
    <t>مستحقات استهلاك الكهرباء</t>
  </si>
  <si>
    <t>مستحقات استهلاك الهاتف</t>
  </si>
  <si>
    <t>رسوم بريدية ومصاريف المراسلات</t>
  </si>
  <si>
    <t>التأمين عن الحريق وعن المسؤولية المدنية</t>
  </si>
  <si>
    <t>إعلانات قانونية ، إدراجات و مصاريف النشر</t>
  </si>
  <si>
    <r>
      <t xml:space="preserve">فوائد القرض رقم  </t>
    </r>
    <r>
      <rPr>
        <b/>
        <sz val="8"/>
        <color rgb="FF000000"/>
        <rFont val="Times New Roman"/>
      </rPr>
      <t xml:space="preserve"> </t>
    </r>
    <r>
      <rPr>
        <b/>
        <sz val="14"/>
        <color rgb="FF000000"/>
        <rFont val="Times New Roman"/>
      </rPr>
      <t xml:space="preserve"> الممنوح من طرف ص. ت .ج</t>
    </r>
  </si>
  <si>
    <t>فوائد التاخير</t>
  </si>
  <si>
    <t>إعانات مقدمة لجمعيات الأعمال الإجتماعية  للموظفين</t>
  </si>
  <si>
    <t>إعانات مقدمة للأعمال الإنسانية</t>
  </si>
  <si>
    <t>إعانات لمؤسسات أخرى اجتماعية</t>
  </si>
  <si>
    <t xml:space="preserve">المساهمة في موسسة الاعمال الاجتماعية لموظفي الجماعات الترابية </t>
  </si>
  <si>
    <t>شراء مواد غدائية</t>
  </si>
  <si>
    <t>إعانات للجمعيات الرياضية</t>
  </si>
  <si>
    <t>شراء المواد الصحية للمكاتب البلدية الصحية والمراكز الإستشفائية</t>
  </si>
  <si>
    <t xml:space="preserve">شراء كتب لمنح الجوائز </t>
  </si>
  <si>
    <t>مصاريف التكوين المستمر للمنتخبين</t>
  </si>
  <si>
    <t>مصاريف التكوين المستمر لموظفي الجماعة</t>
  </si>
  <si>
    <t>تسفير الكتب والسجلات المختلفة</t>
  </si>
  <si>
    <t xml:space="preserve">صيانة منشأت الماء الصالح للشرب </t>
  </si>
  <si>
    <t xml:space="preserve">العناية والاصلاح الاعتيادي لشبكات التوزيع ومنشآت الانارة </t>
  </si>
  <si>
    <t>شراء عتاد الصيانة</t>
  </si>
  <si>
    <t>المستحقات (الإنارة العمومية )</t>
  </si>
  <si>
    <t xml:space="preserve">تعويضات عن الضرر لصالح الخواص </t>
  </si>
  <si>
    <t>صوائر المسطرة وإقامة الدعاوي</t>
  </si>
  <si>
    <t>تامين شسيعي المداخيل</t>
  </si>
  <si>
    <t xml:space="preserve">دفعات النقابة الجماعية </t>
  </si>
  <si>
    <t>دفعات لفائدة الجمعيات المهنية</t>
  </si>
  <si>
    <t>دفعات لنظام المساعدة الطبية RAMED</t>
  </si>
  <si>
    <t>مدفوع لفائدة الجمعية المغربية لرؤساء مجالس الجماعات</t>
  </si>
  <si>
    <t xml:space="preserve">دفعات الفائض للجزء الثاني من الميزانية </t>
  </si>
  <si>
    <t xml:space="preserve">                حرر ببومالن دادس بتاريخ 2024/12/31</t>
  </si>
  <si>
    <t xml:space="preserve">                 تأشيرة المحاسب المختص لميزانية جماعة سوق الخميس دادس</t>
  </si>
  <si>
    <t>$</t>
  </si>
  <si>
    <t>قائمة مصاريف التجهيز</t>
  </si>
  <si>
    <t>الإعتمادات النهائية</t>
  </si>
  <si>
    <t>الأراضي (الإقتناءات)</t>
  </si>
  <si>
    <t>الدراسات و المساعدة  التقنية</t>
  </si>
  <si>
    <t xml:space="preserve"> البنايات  </t>
  </si>
  <si>
    <t>السيارات الدراجات و الدراجات النارية</t>
  </si>
  <si>
    <t>العتاد التقني</t>
  </si>
  <si>
    <t>العتاد المعلوماتي</t>
  </si>
  <si>
    <t>العتاد الكهربائي و الالكتروني</t>
  </si>
  <si>
    <t>عتاد التزيين و الحفلات</t>
  </si>
  <si>
    <t>السيارات الدراجات و الدراجات النارية و الاليات</t>
  </si>
  <si>
    <t xml:space="preserve">العتاد  التقني </t>
  </si>
  <si>
    <t xml:space="preserve">العتاد المعلوماتي  و البرمجيات </t>
  </si>
  <si>
    <t>سداد اصل القرض  رقم ACR005569MAD</t>
  </si>
  <si>
    <t>1310</t>
  </si>
  <si>
    <t>4040</t>
  </si>
  <si>
    <t>10</t>
  </si>
  <si>
    <t>الاراضي</t>
  </si>
  <si>
    <t>1210</t>
  </si>
  <si>
    <t>1010</t>
  </si>
  <si>
    <t>20</t>
  </si>
  <si>
    <t>تأهيل المؤسسات التعليمية</t>
  </si>
  <si>
    <t>1032</t>
  </si>
  <si>
    <t>2020</t>
  </si>
  <si>
    <t xml:space="preserve">الملاعب و المركبات الرياضية </t>
  </si>
  <si>
    <t>3110</t>
  </si>
  <si>
    <t>دراسات عامة</t>
  </si>
  <si>
    <t>الدراسات العامة</t>
  </si>
  <si>
    <t>المسالك والممرات الجماعية</t>
  </si>
  <si>
    <t>الجسور</t>
  </si>
  <si>
    <t>جلب الماء الصالح للشرب</t>
  </si>
  <si>
    <t>محطات الرفع والضخ</t>
  </si>
  <si>
    <t>حفر الابار</t>
  </si>
  <si>
    <t>نقط الماء العمومي</t>
  </si>
  <si>
    <t>وضع الاعمدة والاسلاك</t>
  </si>
  <si>
    <t xml:space="preserve"> الاعمدة والاسلاك</t>
  </si>
  <si>
    <t>الدراسات والمساعدات التقنية</t>
  </si>
  <si>
    <t>الحقوق والرسوم المرتبطة بالشراءات </t>
  </si>
  <si>
    <t>المجازر</t>
  </si>
  <si>
    <t>دفعات لميزانيات الجماعات الترابية</t>
  </si>
  <si>
    <t>دفعات للحساب الخصوصي الخاص بالمبادرة المحلية للتنمية البشرية</t>
  </si>
  <si>
    <t>مساهمة الجماعة في برنامج الخدمة الصحية المستعجلة</t>
  </si>
  <si>
    <t>تغطية الاعتمادات المرحلة من نفقات التسيير</t>
  </si>
  <si>
    <t>المجموع</t>
  </si>
  <si>
    <t>حررببومالن دادس بتاريخ 2024/12/31</t>
  </si>
  <si>
    <t>حرربسوق الخميس دادس بتاريخ 2024/12/31</t>
  </si>
  <si>
    <t>تأشيرة المحاسب المختص لميزانية جماعة سوق الخميس دادس</t>
  </si>
  <si>
    <t>11 919 082,72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</si>
</sst>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26" x14ac:knownFonts="1">
    <font>
      <sz val="11"/>
      <color rgb="FF000000"/>
      <name val="Calibri"/>
    </font>
    <font>
      <b/>
      <sz val="14"/>
      <color rgb="FF000000"/>
      <name val="Times New Roman"/>
    </font>
    <font>
      <b/>
      <sz val="14"/>
      <color rgb="FF000000"/>
      <name val="Arial"/>
    </font>
    <font>
      <b/>
      <sz val="13"/>
      <color rgb="FF000000"/>
      <name val="Times New Roman"/>
    </font>
    <font>
      <b/>
      <sz val="13"/>
      <color rgb="FF000000"/>
      <name val="Arial"/>
    </font>
    <font>
      <b/>
      <sz val="22"/>
      <color rgb="FF993300"/>
      <name val="Times New Roman"/>
    </font>
    <font>
      <b/>
      <sz val="14"/>
      <color rgb="FF000000"/>
      <name val="Calibri"/>
    </font>
    <font>
      <b/>
      <sz val="13"/>
      <color rgb="FF000000"/>
      <name val="Calibri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FFFFFF"/>
      <name val="Times New Roman"/>
    </font>
    <font>
      <sz val="14"/>
      <color rgb="FF000000"/>
      <name val="Times New Roman"/>
    </font>
    <font>
      <b/>
      <sz val="11"/>
      <color rgb="FF000000"/>
      <name val="Calibri"/>
    </font>
    <font>
      <b/>
      <sz val="16"/>
      <color rgb="FF000000"/>
      <name val="Times New Roman"/>
    </font>
    <font>
      <b/>
      <sz val="12"/>
      <color rgb="FF000000"/>
      <name val="Times New Roman"/>
    </font>
    <font>
      <b/>
      <sz val="11"/>
      <color rgb="FFC00000"/>
      <name val="Calibri"/>
    </font>
    <font>
      <b/>
      <sz val="14"/>
      <color rgb="FF984806"/>
      <name val="Arial"/>
    </font>
    <font>
      <b/>
      <sz val="20"/>
      <color rgb="FF000000"/>
      <name val="Times New Roman"/>
    </font>
    <font>
      <b/>
      <sz val="16"/>
      <color rgb="FF000000"/>
      <name val="Arial"/>
    </font>
    <font>
      <b/>
      <sz val="28"/>
      <color rgb="FF000000"/>
      <name val="Calibri"/>
    </font>
    <font>
      <b/>
      <sz val="16"/>
      <color rgb="FF000000"/>
      <name val="Calibri"/>
    </font>
    <font>
      <b/>
      <sz val="15"/>
      <color rgb="FF984806"/>
      <name val="Times New Roman"/>
    </font>
    <font>
      <b/>
      <sz val="24"/>
      <color rgb="FF984806"/>
      <name val="Times New Roman"/>
    </font>
    <font>
      <b/>
      <sz val="24"/>
      <color rgb="FF000000"/>
      <name val="Times New Roman"/>
    </font>
    <font>
      <b/>
      <sz val="14"/>
      <color rgb="FF984806"/>
      <name val="Times New Roman"/>
    </font>
    <font>
      <b/>
      <sz val="8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FFCC00"/>
        <bgColor rgb="FF000000"/>
      </patternFill>
    </fill>
  </fills>
  <borders count="39">
    <border>
      <left/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ck">
        <color rgb="FFC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thick">
        <color rgb="FFC00000"/>
      </right>
      <top style="medium">
        <color rgb="FFC00000"/>
      </top>
      <bottom style="medium">
        <color rgb="FFC00000"/>
      </bottom>
      <diagonal/>
    </border>
    <border>
      <left style="thick">
        <color rgb="FFC00000"/>
      </left>
      <right style="medium">
        <color rgb="FFC00000"/>
      </right>
      <top style="medium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C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C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medium">
        <color rgb="FF000000"/>
      </top>
      <bottom style="medium">
        <color rgb="FF000000"/>
      </bottom>
      <diagonal/>
    </border>
    <border>
      <left style="thick">
        <color rgb="FFC00000"/>
      </left>
      <right style="thick">
        <color rgb="FFC00000"/>
      </right>
      <top style="medium">
        <color rgb="FF000000"/>
      </top>
      <bottom style="medium">
        <color rgb="FF000000"/>
      </bottom>
      <diagonal/>
    </border>
    <border>
      <left style="medium">
        <color rgb="FFC00000"/>
      </left>
      <right style="thick">
        <color rgb="FFC00000"/>
      </right>
      <top style="medium">
        <color rgb="FFC00000"/>
      </top>
      <bottom style="thick">
        <color rgb="FFC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C00000"/>
      </bottom>
      <diagonal/>
    </border>
    <border>
      <left style="medium">
        <color rgb="FFC00000"/>
      </left>
      <right style="thick">
        <color rgb="FFC00000"/>
      </right>
      <top style="thick">
        <color rgb="FFC00000"/>
      </top>
      <bottom/>
      <diagonal/>
    </border>
    <border>
      <left style="medium">
        <color rgb="FFC00000"/>
      </left>
      <right style="thick">
        <color rgb="FFC00000"/>
      </right>
      <top/>
      <bottom/>
      <diagonal/>
    </border>
    <border>
      <left style="medium">
        <color rgb="FFC00000"/>
      </left>
      <right style="thick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thick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thick">
        <color rgb="FFC00000"/>
      </left>
      <right style="medium">
        <color rgb="FFC00000"/>
      </right>
      <top style="thick">
        <color rgb="FFC00000"/>
      </top>
      <bottom style="medium">
        <color rgb="FFC00000"/>
      </bottom>
      <diagonal/>
    </border>
    <border>
      <left style="thick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132">
    <xf numFmtId="0" fontId="0" fillId="0" borderId="0" xfId="0" applyProtection="1"/>
    <xf numFmtId="0" fontId="1" fillId="0" borderId="1" xfId="0" applyFont="1" applyBorder="1" applyAlignment="1" applyProtection="1">
      <alignment horizontal="right" vertical="center" wrapText="1"/>
    </xf>
    <xf numFmtId="9" fontId="2" fillId="0" borderId="2" xfId="0" applyNumberFormat="1" applyFont="1" applyBorder="1" applyAlignment="1" applyProtection="1">
      <alignment vertical="center" wrapText="1"/>
    </xf>
    <xf numFmtId="4" fontId="2" fillId="0" borderId="2" xfId="0" applyNumberFormat="1" applyFont="1" applyBorder="1" applyAlignment="1" applyProtection="1">
      <alignment vertical="center" wrapText="1"/>
    </xf>
    <xf numFmtId="4" fontId="2" fillId="0" borderId="3" xfId="0" applyNumberFormat="1" applyFont="1" applyBorder="1" applyAlignment="1" applyProtection="1">
      <alignment vertical="center" wrapText="1"/>
    </xf>
    <xf numFmtId="0" fontId="3" fillId="0" borderId="2" xfId="0" applyFont="1" applyBorder="1" applyAlignment="1" applyProtection="1">
      <alignment vertical="center" wrapText="1"/>
    </xf>
    <xf numFmtId="0" fontId="3" fillId="0" borderId="2" xfId="0" applyFont="1" applyBorder="1" applyAlignment="1" applyProtection="1">
      <alignment horizontal="right" vertical="center" wrapText="1"/>
    </xf>
    <xf numFmtId="0" fontId="4" fillId="0" borderId="2" xfId="0" applyFont="1" applyBorder="1" applyAlignment="1" applyProtection="1">
      <alignment vertical="center"/>
    </xf>
    <xf numFmtId="0" fontId="3" fillId="0" borderId="2" xfId="0" applyFont="1" applyBorder="1" applyAlignment="1" applyProtection="1">
      <alignment horizontal="center" vertical="center" wrapText="1"/>
    </xf>
    <xf numFmtId="49" fontId="4" fillId="0" borderId="2" xfId="0" applyNumberFormat="1" applyFont="1" applyBorder="1" applyAlignment="1" applyProtection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</xf>
    <xf numFmtId="49" fontId="3" fillId="0" borderId="2" xfId="0" applyNumberFormat="1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/>
    </xf>
    <xf numFmtId="9" fontId="2" fillId="0" borderId="0" xfId="0" applyNumberFormat="1" applyFont="1" applyAlignment="1" applyProtection="1">
      <alignment vertical="center" wrapText="1"/>
    </xf>
    <xf numFmtId="4" fontId="2" fillId="0" borderId="0" xfId="0" applyNumberFormat="1" applyFont="1" applyAlignment="1" applyProtection="1">
      <alignment vertical="center" wrapText="1"/>
    </xf>
    <xf numFmtId="0" fontId="5" fillId="0" borderId="0" xfId="0" applyFont="1" applyAlignment="1" applyProtection="1">
      <alignment horizontal="center" vertical="top" wrapText="1"/>
    </xf>
    <xf numFmtId="0" fontId="6" fillId="0" borderId="0" xfId="0" applyFont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6" fillId="0" borderId="0" xfId="0" applyFont="1" applyProtection="1"/>
    <xf numFmtId="2" fontId="2" fillId="0" borderId="2" xfId="0" applyNumberFormat="1" applyFont="1" applyBorder="1" applyAlignment="1" applyProtection="1">
      <alignment vertical="center" wrapText="1"/>
    </xf>
    <xf numFmtId="0" fontId="1" fillId="0" borderId="1" xfId="0" applyFont="1" applyBorder="1" applyAlignment="1" applyProtection="1">
      <alignment horizontal="right" vertical="center" wrapText="1"/>
    </xf>
    <xf numFmtId="0" fontId="6" fillId="0" borderId="0" xfId="0" applyFont="1" applyProtection="1"/>
    <xf numFmtId="0" fontId="1" fillId="0" borderId="4" xfId="0" applyFont="1" applyBorder="1" applyAlignment="1" applyProtection="1">
      <alignment horizontal="right" vertical="center" wrapText="1"/>
    </xf>
    <xf numFmtId="0" fontId="1" fillId="0" borderId="5" xfId="0" applyFont="1" applyBorder="1" applyAlignment="1" applyProtection="1">
      <alignment horizontal="right" vertical="center" wrapText="1"/>
    </xf>
    <xf numFmtId="0" fontId="8" fillId="0" borderId="0" xfId="0" applyFont="1" applyAlignment="1" applyProtection="1">
      <alignment vertical="center"/>
    </xf>
    <xf numFmtId="4" fontId="3" fillId="0" borderId="6" xfId="0" applyNumberFormat="1" applyFont="1" applyBorder="1" applyAlignment="1" applyProtection="1">
      <alignment vertical="center" wrapText="1"/>
    </xf>
    <xf numFmtId="4" fontId="3" fillId="0" borderId="1" xfId="0" applyNumberFormat="1" applyFont="1" applyBorder="1" applyAlignment="1" applyProtection="1">
      <alignment vertical="center" wrapText="1"/>
    </xf>
    <xf numFmtId="0" fontId="9" fillId="0" borderId="1" xfId="0" applyFont="1" applyBorder="1" applyAlignment="1" applyProtection="1">
      <alignment horizontal="center" vertical="center"/>
    </xf>
    <xf numFmtId="0" fontId="8" fillId="0" borderId="7" xfId="0" applyFont="1" applyBorder="1" applyAlignment="1" applyProtection="1">
      <alignment vertical="center"/>
    </xf>
    <xf numFmtId="0" fontId="8" fillId="0" borderId="7" xfId="0" applyFont="1" applyBorder="1" applyAlignment="1" applyProtection="1">
      <alignment vertical="center"/>
    </xf>
    <xf numFmtId="2" fontId="9" fillId="0" borderId="1" xfId="0" applyNumberFormat="1" applyFont="1" applyBorder="1" applyAlignment="1" applyProtection="1">
      <alignment horizontal="center" vertical="center"/>
    </xf>
    <xf numFmtId="4" fontId="3" fillId="0" borderId="8" xfId="0" applyNumberFormat="1" applyFont="1" applyBorder="1" applyAlignment="1" applyProtection="1">
      <alignment vertical="center" wrapText="1"/>
    </xf>
    <xf numFmtId="4" fontId="3" fillId="0" borderId="3" xfId="0" applyNumberFormat="1" applyFont="1" applyBorder="1" applyAlignment="1" applyProtection="1">
      <alignment vertical="center" wrapText="1"/>
    </xf>
    <xf numFmtId="0" fontId="8" fillId="0" borderId="9" xfId="0" applyFont="1" applyBorder="1" applyAlignment="1" applyProtection="1">
      <alignment vertical="center"/>
    </xf>
    <xf numFmtId="43" fontId="10" fillId="0" borderId="9" xfId="0" applyNumberFormat="1" applyFont="1" applyBorder="1" applyAlignment="1" applyProtection="1">
      <alignment vertical="center"/>
    </xf>
    <xf numFmtId="0" fontId="10" fillId="0" borderId="9" xfId="0" applyFont="1" applyBorder="1" applyAlignment="1" applyProtection="1">
      <alignment vertical="center"/>
    </xf>
    <xf numFmtId="43" fontId="10" fillId="0" borderId="0" xfId="0" applyNumberFormat="1" applyFont="1" applyAlignment="1" applyProtection="1">
      <alignment vertical="center"/>
    </xf>
    <xf numFmtId="0" fontId="11" fillId="0" borderId="0" xfId="0" applyFont="1" applyAlignment="1" applyProtection="1">
      <alignment vertical="center"/>
    </xf>
    <xf numFmtId="4" fontId="8" fillId="0" borderId="0" xfId="0" applyNumberFormat="1" applyFont="1" applyAlignment="1" applyProtection="1">
      <alignment horizontal="center" vertical="center"/>
    </xf>
    <xf numFmtId="0" fontId="1" fillId="0" borderId="10" xfId="0" applyFont="1" applyBorder="1" applyAlignment="1" applyProtection="1">
      <alignment horizontal="right" vertical="center" wrapText="1"/>
    </xf>
    <xf numFmtId="0" fontId="1" fillId="0" borderId="2" xfId="0" applyFont="1" applyBorder="1" applyAlignment="1" applyProtection="1">
      <alignment horizontal="right" vertical="center" wrapText="1"/>
    </xf>
    <xf numFmtId="0" fontId="12" fillId="0" borderId="0" xfId="0" applyFont="1" applyProtection="1"/>
    <xf numFmtId="0" fontId="7" fillId="0" borderId="2" xfId="0" applyFont="1" applyBorder="1" applyProtection="1"/>
    <xf numFmtId="4" fontId="6" fillId="0" borderId="0" xfId="0" applyNumberFormat="1" applyFont="1" applyProtection="1"/>
    <xf numFmtId="0" fontId="7" fillId="0" borderId="0" xfId="0" applyFont="1" applyProtection="1"/>
    <xf numFmtId="0" fontId="3" fillId="0" borderId="10" xfId="0" applyFont="1" applyBorder="1" applyAlignment="1" applyProtection="1">
      <alignment vertical="center" wrapText="1"/>
    </xf>
    <xf numFmtId="0" fontId="3" fillId="0" borderId="10" xfId="0" applyFont="1" applyBorder="1" applyAlignment="1" applyProtection="1">
      <alignment horizontal="center" vertical="center" wrapText="1"/>
    </xf>
    <xf numFmtId="0" fontId="7" fillId="0" borderId="10" xfId="0" applyFont="1" applyBorder="1" applyProtection="1"/>
    <xf numFmtId="0" fontId="1" fillId="0" borderId="10" xfId="0" applyFont="1" applyBorder="1" applyAlignment="1" applyProtection="1">
      <alignment horizontal="center" vertical="center"/>
    </xf>
    <xf numFmtId="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right" vertical="center" wrapText="1"/>
    </xf>
    <xf numFmtId="49" fontId="1" fillId="0" borderId="2" xfId="0" applyNumberFormat="1" applyFont="1" applyBorder="1" applyAlignment="1" applyProtection="1">
      <alignment horizontal="center" vertical="center"/>
    </xf>
    <xf numFmtId="43" fontId="1" fillId="0" borderId="2" xfId="0" applyNumberFormat="1" applyFont="1" applyBorder="1" applyAlignment="1" applyProtection="1">
      <alignment horizontal="right" vertical="center" wrapText="1"/>
    </xf>
    <xf numFmtId="0" fontId="1" fillId="0" borderId="2" xfId="0" applyFont="1" applyBorder="1" applyAlignment="1" applyProtection="1">
      <alignment horizontal="center" vertical="center"/>
    </xf>
    <xf numFmtId="4" fontId="13" fillId="0" borderId="10" xfId="0" applyNumberFormat="1" applyFont="1" applyBorder="1" applyAlignment="1" applyProtection="1">
      <alignment vertical="center" wrapText="1"/>
    </xf>
    <xf numFmtId="4" fontId="13" fillId="0" borderId="2" xfId="0" applyNumberFormat="1" applyFont="1" applyBorder="1" applyAlignment="1" applyProtection="1">
      <alignment vertical="center" wrapText="1"/>
    </xf>
    <xf numFmtId="4" fontId="13" fillId="0" borderId="10" xfId="0" applyNumberFormat="1" applyFont="1" applyBorder="1" applyAlignment="1" applyProtection="1">
      <alignment vertical="center" wrapText="1"/>
    </xf>
    <xf numFmtId="4" fontId="13" fillId="0" borderId="2" xfId="0" applyNumberFormat="1" applyFont="1" applyBorder="1" applyAlignment="1" applyProtection="1">
      <alignment vertical="center" wrapText="1"/>
    </xf>
    <xf numFmtId="43" fontId="13" fillId="2" borderId="2" xfId="0" applyNumberFormat="1" applyFont="1" applyFill="1" applyBorder="1" applyAlignment="1" applyProtection="1">
      <alignment vertical="center"/>
    </xf>
    <xf numFmtId="4" fontId="13" fillId="2" borderId="2" xfId="0" applyNumberFormat="1" applyFont="1" applyFill="1" applyBorder="1" applyAlignment="1" applyProtection="1">
      <alignment vertical="center"/>
    </xf>
    <xf numFmtId="4" fontId="11" fillId="0" borderId="0" xfId="0" applyNumberFormat="1" applyFont="1" applyAlignment="1" applyProtection="1">
      <alignment vertical="center"/>
    </xf>
    <xf numFmtId="43" fontId="11" fillId="0" borderId="0" xfId="0" applyNumberFormat="1" applyFont="1" applyAlignment="1" applyProtection="1">
      <alignment vertical="center"/>
    </xf>
    <xf numFmtId="4" fontId="8" fillId="0" borderId="0" xfId="0" applyNumberFormat="1" applyFont="1" applyAlignment="1" applyProtection="1">
      <alignment vertical="center"/>
    </xf>
    <xf numFmtId="4" fontId="3" fillId="0" borderId="12" xfId="0" applyNumberFormat="1" applyFont="1" applyBorder="1" applyAlignment="1" applyProtection="1">
      <alignment vertical="center" wrapText="1"/>
    </xf>
    <xf numFmtId="4" fontId="12" fillId="0" borderId="0" xfId="0" applyNumberFormat="1" applyFont="1" applyProtection="1"/>
    <xf numFmtId="43" fontId="3" fillId="0" borderId="2" xfId="0" applyNumberFormat="1" applyFont="1" applyBorder="1" applyAlignment="1" applyProtection="1">
      <alignment vertical="center" wrapText="1"/>
    </xf>
    <xf numFmtId="0" fontId="1" fillId="3" borderId="4" xfId="0" applyFont="1" applyFill="1" applyBorder="1" applyAlignment="1" applyProtection="1">
      <alignment horizontal="right" vertical="center" wrapText="1"/>
    </xf>
    <xf numFmtId="0" fontId="9" fillId="0" borderId="2" xfId="0" applyFont="1" applyBorder="1" applyAlignment="1" applyProtection="1">
      <alignment vertical="center" wrapText="1"/>
    </xf>
    <xf numFmtId="4" fontId="2" fillId="0" borderId="13" xfId="0" applyNumberFormat="1" applyFont="1" applyBorder="1" applyAlignment="1" applyProtection="1">
      <alignment vertical="center" wrapText="1"/>
    </xf>
    <xf numFmtId="49" fontId="3" fillId="0" borderId="10" xfId="0" applyNumberFormat="1" applyFont="1" applyBorder="1" applyAlignment="1" applyProtection="1">
      <alignment horizontal="center" vertical="center" wrapText="1"/>
    </xf>
    <xf numFmtId="0" fontId="12" fillId="0" borderId="14" xfId="0" applyFont="1" applyBorder="1" applyProtection="1"/>
    <xf numFmtId="4" fontId="2" fillId="0" borderId="15" xfId="0" applyNumberFormat="1" applyFont="1" applyBorder="1" applyAlignment="1" applyProtection="1">
      <alignment vertical="center" wrapText="1"/>
    </xf>
    <xf numFmtId="0" fontId="14" fillId="0" borderId="2" xfId="0" applyFont="1" applyBorder="1" applyAlignment="1" applyProtection="1">
      <alignment horizontal="left" vertical="center" wrapText="1"/>
    </xf>
    <xf numFmtId="0" fontId="15" fillId="0" borderId="0" xfId="0" applyFont="1" applyProtection="1"/>
    <xf numFmtId="9" fontId="2" fillId="0" borderId="10" xfId="0" applyNumberFormat="1" applyFont="1" applyBorder="1" applyAlignment="1" applyProtection="1">
      <alignment vertical="center" wrapText="1"/>
    </xf>
    <xf numFmtId="0" fontId="16" fillId="4" borderId="4" xfId="0" applyFont="1" applyFill="1" applyBorder="1" applyAlignment="1" applyProtection="1">
      <alignment horizontal="center" vertical="center" wrapText="1"/>
    </xf>
    <xf numFmtId="0" fontId="16" fillId="4" borderId="16" xfId="0" applyFont="1" applyFill="1" applyBorder="1" applyAlignment="1" applyProtection="1">
      <alignment horizontal="center" vertical="center" wrapText="1"/>
    </xf>
    <xf numFmtId="4" fontId="2" fillId="0" borderId="17" xfId="0" applyNumberFormat="1" applyFont="1" applyBorder="1" applyAlignment="1" applyProtection="1">
      <alignment vertical="center" wrapText="1"/>
    </xf>
    <xf numFmtId="0" fontId="6" fillId="0" borderId="9" xfId="0" applyFont="1" applyBorder="1" applyProtection="1"/>
    <xf numFmtId="0" fontId="12" fillId="0" borderId="0" xfId="0" applyFont="1" applyProtection="1"/>
    <xf numFmtId="4" fontId="12" fillId="0" borderId="0" xfId="0" applyNumberFormat="1" applyFont="1" applyProtection="1"/>
    <xf numFmtId="0" fontId="16" fillId="4" borderId="18" xfId="0" applyFont="1" applyFill="1" applyBorder="1" applyAlignment="1" applyProtection="1">
      <alignment horizontal="center" vertical="center" wrapText="1"/>
    </xf>
    <xf numFmtId="0" fontId="6" fillId="0" borderId="0" xfId="0" applyFont="1" applyAlignment="1" applyProtection="1">
      <alignment vertical="center"/>
    </xf>
    <xf numFmtId="0" fontId="7" fillId="0" borderId="19" xfId="0" applyFont="1" applyBorder="1" applyProtection="1"/>
    <xf numFmtId="0" fontId="3" fillId="0" borderId="20" xfId="0" applyFont="1" applyBorder="1" applyAlignment="1" applyProtection="1">
      <alignment vertical="center" wrapText="1"/>
    </xf>
    <xf numFmtId="0" fontId="3" fillId="0" borderId="2" xfId="0" applyFont="1" applyBorder="1" applyAlignment="1" applyProtection="1">
      <alignment horizontal="right" vertical="center" wrapText="1"/>
    </xf>
    <xf numFmtId="0" fontId="3" fillId="0" borderId="21" xfId="0" applyFont="1" applyBorder="1" applyAlignment="1" applyProtection="1">
      <alignment horizontal="center" vertical="center" wrapText="1"/>
    </xf>
    <xf numFmtId="49" fontId="4" fillId="0" borderId="21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right"/>
    </xf>
    <xf numFmtId="0" fontId="19" fillId="0" borderId="0" xfId="0" applyFont="1" applyAlignment="1" applyProtection="1">
      <alignment horizontal="center"/>
    </xf>
    <xf numFmtId="0" fontId="20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right" vertical="center"/>
    </xf>
    <xf numFmtId="0" fontId="6" fillId="0" borderId="0" xfId="0" applyFont="1" applyAlignment="1" applyProtection="1">
      <alignment horizontal="left" vertical="center"/>
    </xf>
    <xf numFmtId="0" fontId="5" fillId="0" borderId="3" xfId="0" applyFont="1" applyBorder="1" applyAlignment="1" applyProtection="1">
      <alignment horizontal="center" vertical="top" wrapText="1"/>
    </xf>
    <xf numFmtId="0" fontId="5" fillId="0" borderId="22" xfId="0" applyFont="1" applyBorder="1" applyAlignment="1" applyProtection="1">
      <alignment horizontal="center" vertical="top" wrapText="1"/>
    </xf>
    <xf numFmtId="0" fontId="18" fillId="5" borderId="23" xfId="0" applyFont="1" applyFill="1" applyBorder="1" applyAlignment="1" applyProtection="1">
      <alignment horizontal="center" vertical="center"/>
    </xf>
    <xf numFmtId="0" fontId="18" fillId="5" borderId="24" xfId="0" applyFont="1" applyFill="1" applyBorder="1" applyAlignment="1" applyProtection="1">
      <alignment horizontal="center" vertical="center"/>
    </xf>
    <xf numFmtId="0" fontId="18" fillId="5" borderId="25" xfId="0" applyFont="1" applyFill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right" vertical="center"/>
    </xf>
    <xf numFmtId="0" fontId="6" fillId="0" borderId="9" xfId="0" applyFont="1" applyBorder="1" applyAlignment="1" applyProtection="1">
      <alignment horizontal="center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22" xfId="0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right" vertical="center"/>
    </xf>
    <xf numFmtId="0" fontId="23" fillId="0" borderId="0" xfId="0" applyFont="1" applyAlignment="1" applyProtection="1">
      <alignment horizontal="center" vertical="center"/>
    </xf>
    <xf numFmtId="0" fontId="13" fillId="0" borderId="0" xfId="0" applyFont="1" applyAlignment="1" applyProtection="1">
      <alignment horizontal="center" vertical="center"/>
    </xf>
    <xf numFmtId="0" fontId="13" fillId="5" borderId="30" xfId="0" applyFont="1" applyFill="1" applyBorder="1" applyAlignment="1" applyProtection="1">
      <alignment horizontal="center" vertical="center"/>
    </xf>
    <xf numFmtId="0" fontId="13" fillId="5" borderId="31" xfId="0" applyFont="1" applyFill="1" applyBorder="1" applyAlignment="1" applyProtection="1">
      <alignment horizontal="center" vertical="center"/>
    </xf>
    <xf numFmtId="0" fontId="13" fillId="5" borderId="1" xfId="0" applyFont="1" applyFill="1" applyBorder="1" applyAlignment="1" applyProtection="1">
      <alignment horizontal="center" vertical="center"/>
    </xf>
    <xf numFmtId="0" fontId="21" fillId="4" borderId="32" xfId="0" applyFont="1" applyFill="1" applyBorder="1" applyAlignment="1" applyProtection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</xf>
    <xf numFmtId="0" fontId="21" fillId="4" borderId="6" xfId="0" applyFont="1" applyFill="1" applyBorder="1" applyAlignment="1" applyProtection="1">
      <alignment horizontal="center" vertical="center" wrapText="1"/>
    </xf>
    <xf numFmtId="0" fontId="13" fillId="5" borderId="27" xfId="0" applyFont="1" applyFill="1" applyBorder="1" applyAlignment="1" applyProtection="1">
      <alignment horizontal="center" vertical="center"/>
    </xf>
    <xf numFmtId="0" fontId="13" fillId="5" borderId="28" xfId="0" applyFont="1" applyFill="1" applyBorder="1" applyAlignment="1" applyProtection="1">
      <alignment horizontal="center" vertical="center"/>
    </xf>
    <xf numFmtId="0" fontId="13" fillId="5" borderId="29" xfId="0" applyFont="1" applyFill="1" applyBorder="1" applyAlignment="1" applyProtection="1">
      <alignment horizontal="center" vertical="center"/>
    </xf>
    <xf numFmtId="0" fontId="21" fillId="4" borderId="30" xfId="0" applyFont="1" applyFill="1" applyBorder="1" applyAlignment="1" applyProtection="1">
      <alignment horizontal="center" vertical="center" wrapText="1"/>
    </xf>
    <xf numFmtId="0" fontId="21" fillId="4" borderId="31" xfId="0" applyFont="1" applyFill="1" applyBorder="1" applyAlignment="1" applyProtection="1">
      <alignment horizontal="center" vertical="center" wrapText="1"/>
    </xf>
    <xf numFmtId="0" fontId="21" fillId="4" borderId="1" xfId="0" applyFont="1" applyFill="1" applyBorder="1" applyAlignment="1" applyProtection="1">
      <alignment horizontal="center" vertical="center" wrapText="1"/>
    </xf>
    <xf numFmtId="0" fontId="22" fillId="4" borderId="30" xfId="0" applyFont="1" applyFill="1" applyBorder="1" applyAlignment="1" applyProtection="1">
      <alignment horizontal="center" vertical="center" wrapText="1"/>
    </xf>
    <xf numFmtId="0" fontId="22" fillId="4" borderId="31" xfId="0" applyFont="1" applyFill="1" applyBorder="1" applyAlignment="1" applyProtection="1">
      <alignment horizontal="center" vertical="center" wrapText="1"/>
    </xf>
    <xf numFmtId="0" fontId="22" fillId="4" borderId="1" xfId="0" applyFont="1" applyFill="1" applyBorder="1" applyAlignment="1" applyProtection="1">
      <alignment horizontal="center" vertical="center" wrapText="1"/>
    </xf>
    <xf numFmtId="0" fontId="24" fillId="4" borderId="37" xfId="0" applyFont="1" applyFill="1" applyBorder="1" applyAlignment="1" applyProtection="1">
      <alignment horizontal="center" vertical="center" wrapText="1"/>
    </xf>
    <xf numFmtId="0" fontId="24" fillId="4" borderId="38" xfId="0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horizontal="center" vertical="center"/>
    </xf>
    <xf numFmtId="43" fontId="11" fillId="0" borderId="0" xfId="0" applyNumberFormat="1" applyFont="1" applyAlignment="1" applyProtection="1">
      <alignment horizontal="center" vertical="center"/>
    </xf>
    <xf numFmtId="0" fontId="1" fillId="2" borderId="34" xfId="0" applyFont="1" applyFill="1" applyBorder="1" applyAlignment="1" applyProtection="1">
      <alignment horizontal="center" vertical="center"/>
    </xf>
    <xf numFmtId="0" fontId="1" fillId="2" borderId="35" xfId="0" applyFont="1" applyFill="1" applyBorder="1" applyAlignment="1" applyProtection="1">
      <alignment horizontal="center" vertical="center"/>
    </xf>
    <xf numFmtId="0" fontId="1" fillId="2" borderId="36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3"/>
  <sheetViews>
    <sheetView view="pageBreakPreview" topLeftCell="A82" zoomScale="60" workbookViewId="0">
      <selection activeCell="L94" sqref="L94"/>
    </sheetView>
  </sheetViews>
  <sheetFormatPr baseColWidth="10" defaultColWidth="11.453125" defaultRowHeight="20.149999999999999" customHeight="1" x14ac:dyDescent="0.45"/>
  <cols>
    <col min="1" max="1" width="10.1796875" style="24" customWidth="1"/>
    <col min="2" max="2" width="16.54296875" style="24" customWidth="1"/>
    <col min="3" max="3" width="18.81640625" style="24" customWidth="1"/>
    <col min="4" max="4" width="19.54296875" style="24" customWidth="1"/>
    <col min="5" max="5" width="19.453125" style="24" customWidth="1"/>
    <col min="6" max="6" width="71.54296875" style="47" customWidth="1"/>
    <col min="7" max="7" width="4.26953125" style="47" customWidth="1"/>
    <col min="8" max="8" width="7.26953125" style="47" customWidth="1"/>
    <col min="9" max="9" width="8.54296875" style="47" customWidth="1"/>
    <col min="10" max="10" width="0.7265625" style="47" hidden="1" customWidth="1"/>
  </cols>
  <sheetData>
    <row r="1" spans="1:10" ht="20.149999999999999" customHeight="1" x14ac:dyDescent="0.45">
      <c r="A1" s="44"/>
      <c r="B1" s="44"/>
      <c r="C1" s="44"/>
      <c r="D1" s="44"/>
      <c r="E1" s="44"/>
      <c r="F1" s="44"/>
      <c r="G1" s="93" t="s">
        <v>0</v>
      </c>
      <c r="H1" s="93"/>
      <c r="I1" s="93"/>
      <c r="J1" s="93"/>
    </row>
    <row r="2" spans="1:10" ht="20.149999999999999" customHeight="1" x14ac:dyDescent="0.45">
      <c r="A2" s="44"/>
      <c r="B2" s="44"/>
      <c r="C2" s="44"/>
      <c r="D2" s="44"/>
      <c r="E2" s="44"/>
      <c r="F2" s="44"/>
      <c r="G2" s="93" t="s">
        <v>1</v>
      </c>
      <c r="H2" s="93"/>
      <c r="I2" s="93"/>
      <c r="J2" s="93"/>
    </row>
    <row r="3" spans="1:10" ht="20.149999999999999" customHeight="1" x14ac:dyDescent="0.45">
      <c r="A3" s="44"/>
      <c r="B3" s="44"/>
      <c r="C3" s="44"/>
      <c r="D3" s="44"/>
      <c r="E3" s="44"/>
      <c r="F3" s="44"/>
      <c r="G3" s="93" t="s">
        <v>2</v>
      </c>
      <c r="H3" s="93"/>
      <c r="I3" s="93"/>
      <c r="J3" s="93"/>
    </row>
    <row r="4" spans="1:10" ht="20.149999999999999" customHeight="1" x14ac:dyDescent="0.45">
      <c r="A4" s="44"/>
      <c r="B4" s="44"/>
      <c r="C4" s="44"/>
      <c r="D4" s="44"/>
      <c r="E4" s="44"/>
      <c r="F4" s="44"/>
      <c r="G4" s="93" t="s">
        <v>3</v>
      </c>
      <c r="H4" s="93"/>
      <c r="I4" s="93"/>
      <c r="J4" s="93"/>
    </row>
    <row r="5" spans="1:10" ht="20.149999999999999" customHeight="1" x14ac:dyDescent="0.45">
      <c r="A5" s="44"/>
      <c r="B5" s="44"/>
      <c r="C5" s="44"/>
      <c r="D5" s="44"/>
      <c r="E5" s="44"/>
      <c r="F5" s="44"/>
      <c r="G5" s="24"/>
      <c r="H5" s="21"/>
      <c r="I5" s="21" t="s">
        <v>4</v>
      </c>
      <c r="J5" s="21"/>
    </row>
    <row r="6" spans="1:10" ht="33" customHeight="1" x14ac:dyDescent="0.8">
      <c r="A6" s="44"/>
      <c r="B6" s="94" t="s">
        <v>5</v>
      </c>
      <c r="C6" s="94"/>
      <c r="D6" s="94"/>
      <c r="E6" s="94"/>
      <c r="F6" s="94"/>
      <c r="G6" s="94"/>
      <c r="H6" s="44"/>
      <c r="I6" s="44"/>
      <c r="J6" s="44"/>
    </row>
    <row r="7" spans="1:10" ht="21.75" customHeight="1" x14ac:dyDescent="0.35">
      <c r="A7" s="95" t="s">
        <v>6</v>
      </c>
      <c r="B7" s="95"/>
      <c r="C7" s="44"/>
      <c r="D7" s="44"/>
      <c r="E7" s="44"/>
      <c r="F7" s="96" t="s">
        <v>7</v>
      </c>
      <c r="G7" s="96"/>
      <c r="H7" s="96"/>
      <c r="I7" s="96"/>
      <c r="J7" s="44"/>
    </row>
    <row r="8" spans="1:10" ht="20.149999999999999" customHeight="1" x14ac:dyDescent="0.35">
      <c r="A8" s="95"/>
      <c r="B8" s="95"/>
      <c r="C8" s="44"/>
      <c r="D8" s="44"/>
      <c r="E8" s="44"/>
      <c r="F8" s="44"/>
      <c r="G8" s="87"/>
      <c r="H8" s="87"/>
      <c r="I8" s="87"/>
      <c r="J8" s="44"/>
    </row>
    <row r="9" spans="1:10" ht="41.25" customHeight="1" x14ac:dyDescent="0.35">
      <c r="A9" s="80" t="s">
        <v>8</v>
      </c>
      <c r="B9" s="81" t="s">
        <v>9</v>
      </c>
      <c r="C9" s="80" t="s">
        <v>10</v>
      </c>
      <c r="D9" s="80" t="s">
        <v>11</v>
      </c>
      <c r="E9" s="86" t="s">
        <v>12</v>
      </c>
      <c r="F9" s="100" t="s">
        <v>13</v>
      </c>
      <c r="G9" s="101"/>
      <c r="H9" s="101"/>
      <c r="I9" s="101"/>
      <c r="J9" s="102"/>
    </row>
    <row r="10" spans="1:10" ht="20.149999999999999" customHeight="1" x14ac:dyDescent="0.4">
      <c r="A10" s="79">
        <v>0</v>
      </c>
      <c r="B10" s="73">
        <v>0</v>
      </c>
      <c r="C10" s="82">
        <v>51500</v>
      </c>
      <c r="D10" s="76">
        <v>51500</v>
      </c>
      <c r="E10" s="73">
        <v>65000</v>
      </c>
      <c r="F10" s="89" t="s">
        <v>14</v>
      </c>
      <c r="G10" s="91">
        <v>10</v>
      </c>
      <c r="H10" s="91" t="s">
        <v>15</v>
      </c>
      <c r="I10" s="92" t="s">
        <v>16</v>
      </c>
      <c r="J10" s="88"/>
    </row>
    <row r="11" spans="1:10" ht="20.149999999999999" customHeight="1" x14ac:dyDescent="0.4">
      <c r="A11" s="2">
        <v>1</v>
      </c>
      <c r="B11" s="3">
        <v>0</v>
      </c>
      <c r="C11" s="3">
        <v>48542</v>
      </c>
      <c r="D11" s="3">
        <v>48542</v>
      </c>
      <c r="E11" s="3">
        <v>62000</v>
      </c>
      <c r="F11" s="48" t="s">
        <v>17</v>
      </c>
      <c r="G11" s="49">
        <v>10</v>
      </c>
      <c r="H11" s="49" t="s">
        <v>15</v>
      </c>
      <c r="I11" s="74" t="s">
        <v>18</v>
      </c>
      <c r="J11" s="50"/>
    </row>
    <row r="12" spans="1:10" ht="20.149999999999999" customHeight="1" x14ac:dyDescent="0.4">
      <c r="A12" s="2">
        <v>0</v>
      </c>
      <c r="B12" s="3">
        <v>0</v>
      </c>
      <c r="C12" s="3">
        <v>0</v>
      </c>
      <c r="D12" s="3">
        <v>0</v>
      </c>
      <c r="E12" s="3">
        <v>0</v>
      </c>
      <c r="F12" s="5" t="s">
        <v>19</v>
      </c>
      <c r="G12" s="8">
        <v>10</v>
      </c>
      <c r="H12" s="8" t="s">
        <v>20</v>
      </c>
      <c r="I12" s="8">
        <v>30.31</v>
      </c>
      <c r="J12" s="45"/>
    </row>
    <row r="13" spans="1:10" ht="20.149999999999999" customHeight="1" x14ac:dyDescent="0.4">
      <c r="A13" s="2">
        <v>0</v>
      </c>
      <c r="B13" s="3">
        <v>0</v>
      </c>
      <c r="C13" s="3">
        <v>0</v>
      </c>
      <c r="D13" s="3">
        <v>0</v>
      </c>
      <c r="E13" s="3">
        <v>0</v>
      </c>
      <c r="F13" s="5" t="s">
        <v>21</v>
      </c>
      <c r="G13" s="8">
        <v>10</v>
      </c>
      <c r="H13" s="8" t="s">
        <v>20</v>
      </c>
      <c r="I13" s="8">
        <v>30.32</v>
      </c>
      <c r="J13" s="45"/>
    </row>
    <row r="14" spans="1:10" ht="20.149999999999999" customHeight="1" x14ac:dyDescent="0.4">
      <c r="A14" s="2">
        <v>0</v>
      </c>
      <c r="B14" s="3">
        <v>0</v>
      </c>
      <c r="C14" s="3">
        <v>0</v>
      </c>
      <c r="D14" s="3">
        <v>0</v>
      </c>
      <c r="E14" s="3">
        <v>10</v>
      </c>
      <c r="F14" s="5" t="s">
        <v>22</v>
      </c>
      <c r="G14" s="8">
        <v>10</v>
      </c>
      <c r="H14" s="8" t="s">
        <v>20</v>
      </c>
      <c r="I14" s="8">
        <v>30.33</v>
      </c>
      <c r="J14" s="45"/>
    </row>
    <row r="15" spans="1:10" ht="20.149999999999999" customHeight="1" x14ac:dyDescent="0.4">
      <c r="A15" s="2">
        <v>0</v>
      </c>
      <c r="B15" s="3">
        <v>0</v>
      </c>
      <c r="C15" s="3">
        <v>0</v>
      </c>
      <c r="D15" s="3">
        <v>0</v>
      </c>
      <c r="E15" s="3">
        <v>10</v>
      </c>
      <c r="F15" s="5" t="s">
        <v>23</v>
      </c>
      <c r="G15" s="8">
        <v>10</v>
      </c>
      <c r="H15" s="8" t="s">
        <v>24</v>
      </c>
      <c r="I15" s="8">
        <v>20.21</v>
      </c>
      <c r="J15" s="45"/>
    </row>
    <row r="16" spans="1:10" ht="20.149999999999999" customHeight="1" x14ac:dyDescent="0.4">
      <c r="A16" s="2">
        <v>0</v>
      </c>
      <c r="B16" s="3">
        <v>0</v>
      </c>
      <c r="C16" s="3">
        <v>0</v>
      </c>
      <c r="D16" s="3">
        <v>0</v>
      </c>
      <c r="E16" s="3">
        <v>10</v>
      </c>
      <c r="F16" s="5" t="s">
        <v>25</v>
      </c>
      <c r="G16" s="8">
        <v>10</v>
      </c>
      <c r="H16" s="8" t="s">
        <v>24</v>
      </c>
      <c r="I16" s="8">
        <v>20.23</v>
      </c>
      <c r="J16" s="45"/>
    </row>
    <row r="17" spans="1:10" ht="20.149999999999999" customHeight="1" x14ac:dyDescent="0.4">
      <c r="A17" s="2">
        <v>0</v>
      </c>
      <c r="B17" s="3">
        <v>0</v>
      </c>
      <c r="C17" s="3">
        <v>0</v>
      </c>
      <c r="D17" s="3">
        <v>0</v>
      </c>
      <c r="E17" s="3">
        <v>10</v>
      </c>
      <c r="F17" s="5" t="s">
        <v>26</v>
      </c>
      <c r="G17" s="8">
        <v>10</v>
      </c>
      <c r="H17" s="8" t="s">
        <v>24</v>
      </c>
      <c r="I17" s="8">
        <v>20.239999999999998</v>
      </c>
      <c r="J17" s="45"/>
    </row>
    <row r="18" spans="1:10" ht="20.149999999999999" customHeight="1" x14ac:dyDescent="0.4">
      <c r="A18" s="2">
        <v>0</v>
      </c>
      <c r="B18" s="3">
        <v>0</v>
      </c>
      <c r="C18" s="3">
        <v>0</v>
      </c>
      <c r="D18" s="3">
        <v>0</v>
      </c>
      <c r="E18" s="3">
        <v>10</v>
      </c>
      <c r="F18" s="5" t="s">
        <v>27</v>
      </c>
      <c r="G18" s="8">
        <v>10</v>
      </c>
      <c r="H18" s="8" t="s">
        <v>28</v>
      </c>
      <c r="I18" s="8">
        <v>10.11</v>
      </c>
      <c r="J18" s="45"/>
    </row>
    <row r="19" spans="1:10" ht="20.149999999999999" customHeight="1" x14ac:dyDescent="0.4">
      <c r="A19" s="22">
        <v>0</v>
      </c>
      <c r="B19" s="3">
        <v>0</v>
      </c>
      <c r="C19" s="3">
        <v>0</v>
      </c>
      <c r="D19" s="3">
        <v>0</v>
      </c>
      <c r="E19" s="3">
        <v>10</v>
      </c>
      <c r="F19" s="5" t="s">
        <v>29</v>
      </c>
      <c r="G19" s="8">
        <v>10</v>
      </c>
      <c r="H19" s="8" t="s">
        <v>28</v>
      </c>
      <c r="I19" s="8">
        <v>10.119999999999999</v>
      </c>
      <c r="J19" s="45"/>
    </row>
    <row r="20" spans="1:10" ht="20.149999999999999" customHeight="1" x14ac:dyDescent="0.4">
      <c r="A20" s="2">
        <v>1</v>
      </c>
      <c r="B20" s="3">
        <v>0</v>
      </c>
      <c r="C20" s="3">
        <v>217.86</v>
      </c>
      <c r="D20" s="3">
        <v>217.86</v>
      </c>
      <c r="E20" s="3">
        <v>385.12</v>
      </c>
      <c r="F20" s="5" t="s">
        <v>30</v>
      </c>
      <c r="G20" s="8">
        <v>10</v>
      </c>
      <c r="H20" s="8" t="s">
        <v>28</v>
      </c>
      <c r="I20" s="8">
        <v>30.31</v>
      </c>
      <c r="J20" s="45"/>
    </row>
    <row r="21" spans="1:10" ht="20.149999999999999" customHeight="1" x14ac:dyDescent="0.4">
      <c r="A21" s="2">
        <v>0</v>
      </c>
      <c r="B21" s="3">
        <v>0</v>
      </c>
      <c r="C21" s="3">
        <v>0</v>
      </c>
      <c r="D21" s="3">
        <v>0</v>
      </c>
      <c r="E21" s="3">
        <v>0</v>
      </c>
      <c r="F21" s="5" t="s">
        <v>31</v>
      </c>
      <c r="G21" s="8">
        <v>10</v>
      </c>
      <c r="H21" s="8" t="s">
        <v>28</v>
      </c>
      <c r="I21" s="10" t="s">
        <v>32</v>
      </c>
      <c r="J21" s="45"/>
    </row>
    <row r="22" spans="1:10" ht="20.149999999999999" customHeight="1" x14ac:dyDescent="0.4">
      <c r="A22" s="2">
        <v>1</v>
      </c>
      <c r="B22" s="3">
        <v>0</v>
      </c>
      <c r="C22" s="3">
        <v>7564000</v>
      </c>
      <c r="D22" s="3">
        <v>7564000</v>
      </c>
      <c r="E22" s="3">
        <v>7564000</v>
      </c>
      <c r="F22" s="5" t="s">
        <v>33</v>
      </c>
      <c r="G22" s="8">
        <v>10</v>
      </c>
      <c r="H22" s="8" t="s">
        <v>34</v>
      </c>
      <c r="I22" s="8">
        <v>10</v>
      </c>
      <c r="J22" s="45"/>
    </row>
    <row r="23" spans="1:10" ht="20.149999999999999" customHeight="1" x14ac:dyDescent="0.4">
      <c r="A23" s="2">
        <v>0</v>
      </c>
      <c r="B23" s="3">
        <v>0</v>
      </c>
      <c r="C23" s="3">
        <v>0</v>
      </c>
      <c r="D23" s="3">
        <v>0</v>
      </c>
      <c r="E23" s="3">
        <v>10</v>
      </c>
      <c r="F23" s="5" t="s">
        <v>35</v>
      </c>
      <c r="G23" s="8">
        <v>20</v>
      </c>
      <c r="H23" s="8" t="s">
        <v>15</v>
      </c>
      <c r="I23" s="8">
        <v>30</v>
      </c>
      <c r="J23" s="45"/>
    </row>
    <row r="24" spans="1:10" ht="20.149999999999999" customHeight="1" x14ac:dyDescent="0.4">
      <c r="A24" s="2">
        <v>1</v>
      </c>
      <c r="B24" s="3">
        <v>0</v>
      </c>
      <c r="C24" s="3">
        <v>1200</v>
      </c>
      <c r="D24" s="3">
        <v>1200</v>
      </c>
      <c r="E24" s="3">
        <v>5000</v>
      </c>
      <c r="F24" s="5" t="s">
        <v>36</v>
      </c>
      <c r="G24" s="8">
        <v>20</v>
      </c>
      <c r="H24" s="8" t="s">
        <v>15</v>
      </c>
      <c r="I24" s="8">
        <v>30.31</v>
      </c>
      <c r="J24" s="45"/>
    </row>
    <row r="25" spans="1:10" ht="20.149999999999999" customHeight="1" x14ac:dyDescent="0.4">
      <c r="A25" s="2">
        <v>0</v>
      </c>
      <c r="B25" s="3">
        <v>0</v>
      </c>
      <c r="C25" s="3">
        <v>0</v>
      </c>
      <c r="D25" s="3">
        <v>0</v>
      </c>
      <c r="E25" s="3">
        <v>0</v>
      </c>
      <c r="F25" s="5" t="s">
        <v>37</v>
      </c>
      <c r="G25" s="8">
        <v>20</v>
      </c>
      <c r="H25" s="8" t="s">
        <v>15</v>
      </c>
      <c r="I25" s="8">
        <v>30.32</v>
      </c>
      <c r="J25" s="45"/>
    </row>
    <row r="26" spans="1:10" ht="20.149999999999999" customHeight="1" x14ac:dyDescent="0.4">
      <c r="A26" s="2">
        <v>1</v>
      </c>
      <c r="B26" s="3">
        <v>0</v>
      </c>
      <c r="C26" s="3">
        <v>47250</v>
      </c>
      <c r="D26" s="3">
        <v>47250</v>
      </c>
      <c r="E26" s="3">
        <v>60000</v>
      </c>
      <c r="F26" s="5" t="s">
        <v>38</v>
      </c>
      <c r="G26" s="8">
        <v>20</v>
      </c>
      <c r="H26" s="8" t="s">
        <v>15</v>
      </c>
      <c r="I26" s="8">
        <v>30.34</v>
      </c>
      <c r="J26" s="45"/>
    </row>
    <row r="27" spans="1:10" ht="20.149999999999999" customHeight="1" x14ac:dyDescent="0.4">
      <c r="A27" s="2">
        <v>0</v>
      </c>
      <c r="B27" s="3">
        <v>0</v>
      </c>
      <c r="C27" s="3">
        <v>0</v>
      </c>
      <c r="D27" s="3">
        <v>0</v>
      </c>
      <c r="E27" s="3">
        <v>0</v>
      </c>
      <c r="F27" s="5" t="s">
        <v>39</v>
      </c>
      <c r="G27" s="8">
        <v>20</v>
      </c>
      <c r="H27" s="8" t="s">
        <v>15</v>
      </c>
      <c r="I27" s="8">
        <v>30.35</v>
      </c>
      <c r="J27" s="45"/>
    </row>
    <row r="28" spans="1:10" ht="20.149999999999999" customHeight="1" x14ac:dyDescent="0.4">
      <c r="A28" s="2">
        <v>0</v>
      </c>
      <c r="B28" s="3">
        <v>0</v>
      </c>
      <c r="C28" s="3">
        <v>0</v>
      </c>
      <c r="D28" s="3">
        <v>0</v>
      </c>
      <c r="E28" s="3">
        <v>0</v>
      </c>
      <c r="F28" s="90" t="s">
        <v>40</v>
      </c>
      <c r="G28" s="8">
        <v>20</v>
      </c>
      <c r="H28" s="8" t="s">
        <v>15</v>
      </c>
      <c r="I28" s="8">
        <v>30.36</v>
      </c>
      <c r="J28" s="45"/>
    </row>
    <row r="29" spans="1:10" ht="20.149999999999999" customHeight="1" x14ac:dyDescent="0.4">
      <c r="A29" s="2">
        <v>0</v>
      </c>
      <c r="B29" s="3">
        <v>0</v>
      </c>
      <c r="C29" s="3">
        <v>0</v>
      </c>
      <c r="D29" s="3">
        <v>0</v>
      </c>
      <c r="E29" s="3">
        <v>0</v>
      </c>
      <c r="F29" s="5" t="s">
        <v>41</v>
      </c>
      <c r="G29" s="8">
        <v>20</v>
      </c>
      <c r="H29" s="8" t="s">
        <v>20</v>
      </c>
      <c r="I29" s="8">
        <v>30.32</v>
      </c>
      <c r="J29" s="45"/>
    </row>
    <row r="30" spans="1:10" ht="20.149999999999999" customHeight="1" x14ac:dyDescent="0.4">
      <c r="A30" s="2">
        <v>0</v>
      </c>
      <c r="B30" s="3">
        <v>0</v>
      </c>
      <c r="C30" s="3">
        <v>2764</v>
      </c>
      <c r="D30" s="3">
        <v>2764</v>
      </c>
      <c r="E30" s="3">
        <v>1500</v>
      </c>
      <c r="F30" s="5" t="s">
        <v>42</v>
      </c>
      <c r="G30" s="8">
        <v>20</v>
      </c>
      <c r="H30" s="8" t="s">
        <v>24</v>
      </c>
      <c r="I30" s="9" t="s">
        <v>16</v>
      </c>
      <c r="J30" s="45"/>
    </row>
    <row r="31" spans="1:10" ht="20.149999999999999" customHeight="1" x14ac:dyDescent="0.4">
      <c r="A31" s="2">
        <v>0</v>
      </c>
      <c r="B31" s="3">
        <v>0</v>
      </c>
      <c r="C31" s="3">
        <v>0</v>
      </c>
      <c r="D31" s="3">
        <v>0</v>
      </c>
      <c r="E31" s="3">
        <v>10</v>
      </c>
      <c r="F31" s="70" t="s">
        <v>43</v>
      </c>
      <c r="G31" s="8">
        <v>20</v>
      </c>
      <c r="H31" s="8" t="s">
        <v>24</v>
      </c>
      <c r="I31" s="8">
        <v>12</v>
      </c>
      <c r="J31" s="45"/>
    </row>
    <row r="32" spans="1:10" ht="20.149999999999999" customHeight="1" x14ac:dyDescent="0.4">
      <c r="A32" s="2">
        <v>0</v>
      </c>
      <c r="B32" s="3">
        <v>0</v>
      </c>
      <c r="C32" s="3">
        <v>0</v>
      </c>
      <c r="D32" s="3">
        <v>0</v>
      </c>
      <c r="E32" s="3"/>
      <c r="F32" s="5" t="s">
        <v>44</v>
      </c>
      <c r="G32" s="8">
        <v>30</v>
      </c>
      <c r="H32" s="8" t="s">
        <v>15</v>
      </c>
      <c r="I32" s="9" t="s">
        <v>16</v>
      </c>
      <c r="J32" s="45"/>
    </row>
    <row r="33" spans="1:12" ht="20.149999999999999" customHeight="1" x14ac:dyDescent="0.4">
      <c r="A33" s="2">
        <v>0</v>
      </c>
      <c r="B33" s="3">
        <v>0</v>
      </c>
      <c r="C33" s="3">
        <v>0</v>
      </c>
      <c r="D33" s="3">
        <v>0</v>
      </c>
      <c r="E33" s="3">
        <v>0</v>
      </c>
      <c r="F33" s="5" t="s">
        <v>45</v>
      </c>
      <c r="G33" s="8">
        <v>30</v>
      </c>
      <c r="H33" s="8" t="s">
        <v>15</v>
      </c>
      <c r="I33" s="10" t="s">
        <v>46</v>
      </c>
      <c r="J33" s="45"/>
    </row>
    <row r="34" spans="1:12" ht="20.149999999999999" customHeight="1" x14ac:dyDescent="0.4">
      <c r="A34" s="2">
        <v>0</v>
      </c>
      <c r="B34" s="3">
        <v>0</v>
      </c>
      <c r="C34" s="3">
        <v>0</v>
      </c>
      <c r="D34" s="3">
        <v>0</v>
      </c>
      <c r="E34" s="3">
        <v>0</v>
      </c>
      <c r="F34" s="5" t="s">
        <v>47</v>
      </c>
      <c r="G34" s="8">
        <v>30</v>
      </c>
      <c r="H34" s="8" t="s">
        <v>15</v>
      </c>
      <c r="I34" s="10" t="s">
        <v>48</v>
      </c>
      <c r="J34" s="45"/>
    </row>
    <row r="35" spans="1:12" ht="20.149999999999999" customHeight="1" x14ac:dyDescent="0.4">
      <c r="A35" s="2">
        <v>1</v>
      </c>
      <c r="B35" s="3">
        <v>0</v>
      </c>
      <c r="C35" s="3">
        <v>41540</v>
      </c>
      <c r="D35" s="3">
        <v>41540</v>
      </c>
      <c r="E35" s="3">
        <v>120000</v>
      </c>
      <c r="F35" s="5" t="s">
        <v>49</v>
      </c>
      <c r="G35" s="8">
        <v>30</v>
      </c>
      <c r="H35" s="8" t="s">
        <v>15</v>
      </c>
      <c r="I35" s="10" t="s">
        <v>50</v>
      </c>
      <c r="J35" s="45"/>
    </row>
    <row r="36" spans="1:12" ht="20.149999999999999" customHeight="1" x14ac:dyDescent="0.4">
      <c r="A36" s="2">
        <v>0</v>
      </c>
      <c r="B36" s="3">
        <v>0</v>
      </c>
      <c r="C36" s="3">
        <v>0</v>
      </c>
      <c r="D36" s="3">
        <v>0</v>
      </c>
      <c r="E36" s="3">
        <v>0</v>
      </c>
      <c r="F36" s="5" t="s">
        <v>51</v>
      </c>
      <c r="G36" s="8">
        <v>30</v>
      </c>
      <c r="H36" s="8" t="s">
        <v>15</v>
      </c>
      <c r="I36" s="10" t="s">
        <v>52</v>
      </c>
      <c r="J36" s="45"/>
    </row>
    <row r="37" spans="1:12" ht="20.149999999999999" customHeight="1" x14ac:dyDescent="0.4">
      <c r="A37" s="2">
        <v>0</v>
      </c>
      <c r="B37" s="3">
        <v>0</v>
      </c>
      <c r="C37" s="3">
        <v>0</v>
      </c>
      <c r="D37" s="3">
        <v>0</v>
      </c>
      <c r="E37" s="3">
        <v>0</v>
      </c>
      <c r="F37" s="5" t="s">
        <v>53</v>
      </c>
      <c r="G37" s="8">
        <v>30</v>
      </c>
      <c r="H37" s="8" t="s">
        <v>15</v>
      </c>
      <c r="I37" s="10" t="s">
        <v>54</v>
      </c>
      <c r="J37" s="45"/>
    </row>
    <row r="38" spans="1:12" ht="20.149999999999999" customHeight="1" x14ac:dyDescent="0.4">
      <c r="A38" s="2">
        <v>0</v>
      </c>
      <c r="B38" s="3">
        <v>0</v>
      </c>
      <c r="C38" s="3">
        <v>0</v>
      </c>
      <c r="D38" s="3">
        <v>0</v>
      </c>
      <c r="E38" s="3">
        <v>10</v>
      </c>
      <c r="F38" s="5" t="s">
        <v>55</v>
      </c>
      <c r="G38" s="8">
        <v>30</v>
      </c>
      <c r="H38" s="8" t="s">
        <v>15</v>
      </c>
      <c r="I38" s="10" t="s">
        <v>56</v>
      </c>
      <c r="J38" s="45"/>
    </row>
    <row r="39" spans="1:12" ht="20.149999999999999" customHeight="1" x14ac:dyDescent="0.4">
      <c r="A39" s="2">
        <v>0</v>
      </c>
      <c r="B39" s="3">
        <v>0</v>
      </c>
      <c r="C39" s="3">
        <v>0</v>
      </c>
      <c r="D39" s="3">
        <v>0</v>
      </c>
      <c r="E39" s="3">
        <v>0</v>
      </c>
      <c r="F39" s="5" t="s">
        <v>57</v>
      </c>
      <c r="G39" s="8">
        <v>30</v>
      </c>
      <c r="H39" s="8" t="s">
        <v>15</v>
      </c>
      <c r="I39" s="10" t="s">
        <v>58</v>
      </c>
      <c r="J39" s="45"/>
    </row>
    <row r="40" spans="1:12" ht="20.149999999999999" customHeight="1" x14ac:dyDescent="0.4">
      <c r="A40" s="2">
        <v>0</v>
      </c>
      <c r="B40" s="3">
        <v>0</v>
      </c>
      <c r="C40" s="3">
        <v>35100</v>
      </c>
      <c r="D40" s="3">
        <v>35100</v>
      </c>
      <c r="E40" s="3">
        <v>100000</v>
      </c>
      <c r="F40" s="5" t="s">
        <v>59</v>
      </c>
      <c r="G40" s="8">
        <v>30</v>
      </c>
      <c r="H40" s="8" t="s">
        <v>15</v>
      </c>
      <c r="I40" s="10">
        <v>20.22</v>
      </c>
      <c r="J40" s="45"/>
    </row>
    <row r="41" spans="1:12" ht="20.149999999999999" customHeight="1" x14ac:dyDescent="0.4">
      <c r="A41" s="2">
        <v>1</v>
      </c>
      <c r="B41" s="3">
        <v>0</v>
      </c>
      <c r="C41" s="3">
        <v>18249</v>
      </c>
      <c r="D41" s="3">
        <v>18249</v>
      </c>
      <c r="E41" s="3">
        <v>31000</v>
      </c>
      <c r="F41" s="5" t="s">
        <v>60</v>
      </c>
      <c r="G41" s="8">
        <v>30</v>
      </c>
      <c r="H41" s="8" t="s">
        <v>15</v>
      </c>
      <c r="I41" s="8">
        <v>20.23</v>
      </c>
      <c r="J41" s="45"/>
    </row>
    <row r="42" spans="1:12" ht="20.149999999999999" customHeight="1" x14ac:dyDescent="0.4">
      <c r="A42" s="2">
        <v>0</v>
      </c>
      <c r="B42" s="3">
        <v>0</v>
      </c>
      <c r="C42" s="3">
        <v>0</v>
      </c>
      <c r="D42" s="3">
        <v>0</v>
      </c>
      <c r="E42" s="3">
        <v>10</v>
      </c>
      <c r="F42" s="5" t="s">
        <v>61</v>
      </c>
      <c r="G42" s="8">
        <v>30</v>
      </c>
      <c r="H42" s="8" t="s">
        <v>20</v>
      </c>
      <c r="I42" s="9" t="s">
        <v>16</v>
      </c>
      <c r="J42" s="45"/>
    </row>
    <row r="43" spans="1:12" ht="20.149999999999999" customHeight="1" x14ac:dyDescent="0.4">
      <c r="A43" s="2">
        <v>0</v>
      </c>
      <c r="B43" s="3">
        <v>0</v>
      </c>
      <c r="C43" s="3">
        <v>0</v>
      </c>
      <c r="D43" s="3">
        <v>0</v>
      </c>
      <c r="E43" s="3">
        <v>0</v>
      </c>
      <c r="F43" s="5" t="s">
        <v>62</v>
      </c>
      <c r="G43" s="8">
        <v>30</v>
      </c>
      <c r="H43" s="8" t="s">
        <v>20</v>
      </c>
      <c r="I43" s="8">
        <v>20.21</v>
      </c>
      <c r="J43" s="45"/>
    </row>
    <row r="44" spans="1:12" ht="20.149999999999999" customHeight="1" x14ac:dyDescent="0.4">
      <c r="A44" s="2">
        <v>0</v>
      </c>
      <c r="B44" s="3">
        <v>0</v>
      </c>
      <c r="C44" s="3">
        <v>0</v>
      </c>
      <c r="D44" s="3">
        <v>0</v>
      </c>
      <c r="E44" s="3">
        <v>0</v>
      </c>
      <c r="F44" s="5" t="s">
        <v>63</v>
      </c>
      <c r="G44" s="8">
        <v>30</v>
      </c>
      <c r="H44" s="8" t="s">
        <v>20</v>
      </c>
      <c r="I44" s="10" t="s">
        <v>32</v>
      </c>
      <c r="J44" s="45"/>
    </row>
    <row r="45" spans="1:12" ht="20.149999999999999" customHeight="1" x14ac:dyDescent="0.4">
      <c r="A45" s="2">
        <v>0</v>
      </c>
      <c r="B45" s="3">
        <v>0</v>
      </c>
      <c r="C45" s="3">
        <v>0</v>
      </c>
      <c r="D45" s="3">
        <v>0</v>
      </c>
      <c r="E45" s="3">
        <v>10</v>
      </c>
      <c r="F45" s="5" t="s">
        <v>64</v>
      </c>
      <c r="G45" s="8">
        <v>30</v>
      </c>
      <c r="H45" s="8" t="s">
        <v>20</v>
      </c>
      <c r="I45" s="8">
        <v>30.33</v>
      </c>
      <c r="J45" s="45"/>
    </row>
    <row r="46" spans="1:12" ht="20.149999999999999" customHeight="1" x14ac:dyDescent="0.4">
      <c r="A46" s="2">
        <v>1</v>
      </c>
      <c r="B46" s="3">
        <v>0</v>
      </c>
      <c r="C46" s="3">
        <v>2388.8000000000002</v>
      </c>
      <c r="D46" s="3">
        <v>2388.8000000000002</v>
      </c>
      <c r="E46" s="3">
        <v>4000</v>
      </c>
      <c r="F46" s="5" t="s">
        <v>65</v>
      </c>
      <c r="G46" s="8">
        <v>40</v>
      </c>
      <c r="H46" s="8" t="s">
        <v>15</v>
      </c>
      <c r="I46" s="9" t="s">
        <v>16</v>
      </c>
      <c r="J46" s="45"/>
    </row>
    <row r="47" spans="1:12" ht="20.149999999999999" customHeight="1" x14ac:dyDescent="0.4">
      <c r="A47" s="2">
        <v>0</v>
      </c>
      <c r="B47" s="3">
        <v>0</v>
      </c>
      <c r="C47" s="3">
        <v>0</v>
      </c>
      <c r="D47" s="3">
        <v>0</v>
      </c>
      <c r="E47" s="3">
        <v>10</v>
      </c>
      <c r="F47" s="5" t="s">
        <v>66</v>
      </c>
      <c r="G47" s="8">
        <v>40</v>
      </c>
      <c r="H47" s="8" t="s">
        <v>67</v>
      </c>
      <c r="I47" s="9" t="s">
        <v>46</v>
      </c>
      <c r="J47" s="45"/>
    </row>
    <row r="48" spans="1:12" ht="20.149999999999999" customHeight="1" x14ac:dyDescent="0.4">
      <c r="A48" s="2">
        <v>0</v>
      </c>
      <c r="B48" s="3">
        <v>0</v>
      </c>
      <c r="C48" s="3">
        <v>0</v>
      </c>
      <c r="D48" s="3">
        <v>0</v>
      </c>
      <c r="E48" s="3">
        <v>10</v>
      </c>
      <c r="F48" s="5" t="s">
        <v>68</v>
      </c>
      <c r="G48" s="8">
        <v>40</v>
      </c>
      <c r="H48" s="8" t="s">
        <v>15</v>
      </c>
      <c r="I48" s="9" t="s">
        <v>69</v>
      </c>
      <c r="J48" s="45"/>
      <c r="L48" s="78"/>
    </row>
    <row r="49" spans="1:10" ht="20.149999999999999" customHeight="1" x14ac:dyDescent="0.4">
      <c r="A49" s="2">
        <v>1</v>
      </c>
      <c r="B49" s="3">
        <v>0</v>
      </c>
      <c r="C49" s="3">
        <v>141377.4</v>
      </c>
      <c r="D49" s="3">
        <v>141377.4</v>
      </c>
      <c r="E49" s="3">
        <v>30000</v>
      </c>
      <c r="F49" s="5" t="s">
        <v>70</v>
      </c>
      <c r="G49" s="8">
        <v>40</v>
      </c>
      <c r="H49" s="8" t="s">
        <v>15</v>
      </c>
      <c r="I49" s="10" t="s">
        <v>50</v>
      </c>
      <c r="J49" s="45"/>
    </row>
    <row r="50" spans="1:10" ht="20.149999999999999" customHeight="1" x14ac:dyDescent="0.4">
      <c r="A50" s="2">
        <v>0</v>
      </c>
      <c r="B50" s="3">
        <v>5391.41</v>
      </c>
      <c r="C50" s="3">
        <v>0</v>
      </c>
      <c r="D50" s="3">
        <v>5391.41</v>
      </c>
      <c r="E50" s="3">
        <v>10</v>
      </c>
      <c r="F50" s="5" t="s">
        <v>71</v>
      </c>
      <c r="G50" s="8">
        <v>40</v>
      </c>
      <c r="H50" s="8" t="s">
        <v>15</v>
      </c>
      <c r="I50" s="10" t="s">
        <v>52</v>
      </c>
      <c r="J50" s="45"/>
    </row>
    <row r="51" spans="1:10" ht="20.149999999999999" customHeight="1" x14ac:dyDescent="0.4">
      <c r="A51" s="2">
        <v>1</v>
      </c>
      <c r="B51" s="3">
        <v>0</v>
      </c>
      <c r="C51" s="3">
        <v>4324.5</v>
      </c>
      <c r="D51" s="3">
        <v>4324.5</v>
      </c>
      <c r="E51" s="3">
        <v>6700</v>
      </c>
      <c r="F51" s="5" t="s">
        <v>72</v>
      </c>
      <c r="G51" s="8">
        <v>40</v>
      </c>
      <c r="H51" s="8" t="s">
        <v>15</v>
      </c>
      <c r="I51" s="10" t="s">
        <v>54</v>
      </c>
      <c r="J51" s="45"/>
    </row>
    <row r="52" spans="1:10" ht="20.149999999999999" customHeight="1" x14ac:dyDescent="0.4">
      <c r="A52" s="2">
        <v>0.10495120313722001</v>
      </c>
      <c r="B52" s="3">
        <v>631517.69999999995</v>
      </c>
      <c r="C52" s="3">
        <v>74050.2</v>
      </c>
      <c r="D52" s="3">
        <v>705567.9</v>
      </c>
      <c r="E52" s="3">
        <v>75000</v>
      </c>
      <c r="F52" s="5" t="s">
        <v>73</v>
      </c>
      <c r="G52" s="8">
        <v>40</v>
      </c>
      <c r="H52" s="8" t="s">
        <v>15</v>
      </c>
      <c r="I52" s="11" t="s">
        <v>74</v>
      </c>
      <c r="J52" s="45"/>
    </row>
    <row r="53" spans="1:10" ht="20.149999999999999" customHeight="1" x14ac:dyDescent="0.4">
      <c r="A53" s="2">
        <v>0</v>
      </c>
      <c r="B53" s="3">
        <v>0</v>
      </c>
      <c r="C53" s="3">
        <v>0</v>
      </c>
      <c r="D53" s="3">
        <v>0</v>
      </c>
      <c r="E53" s="3">
        <v>0</v>
      </c>
      <c r="F53" s="5" t="s">
        <v>75</v>
      </c>
      <c r="G53" s="8">
        <v>40</v>
      </c>
      <c r="H53" s="8" t="s">
        <v>15</v>
      </c>
      <c r="I53" s="11" t="s">
        <v>76</v>
      </c>
      <c r="J53" s="45"/>
    </row>
    <row r="54" spans="1:10" ht="20.149999999999999" customHeight="1" x14ac:dyDescent="0.4">
      <c r="A54" s="2">
        <v>0</v>
      </c>
      <c r="B54" s="3">
        <v>0</v>
      </c>
      <c r="C54" s="3">
        <v>0</v>
      </c>
      <c r="D54" s="3">
        <v>0</v>
      </c>
      <c r="E54" s="3">
        <v>10</v>
      </c>
      <c r="F54" s="5" t="s">
        <v>77</v>
      </c>
      <c r="G54" s="8">
        <v>40</v>
      </c>
      <c r="H54" s="8" t="s">
        <v>15</v>
      </c>
      <c r="I54" s="10">
        <v>20.21</v>
      </c>
      <c r="J54" s="45"/>
    </row>
    <row r="55" spans="1:10" ht="20.149999999999999" customHeight="1" x14ac:dyDescent="0.4">
      <c r="A55" s="2">
        <v>0</v>
      </c>
      <c r="B55" s="3">
        <v>0</v>
      </c>
      <c r="C55" s="3">
        <v>0</v>
      </c>
      <c r="D55" s="3">
        <v>0</v>
      </c>
      <c r="E55" s="3">
        <v>10</v>
      </c>
      <c r="F55" s="5" t="s">
        <v>78</v>
      </c>
      <c r="G55" s="8">
        <v>40</v>
      </c>
      <c r="H55" s="8" t="s">
        <v>15</v>
      </c>
      <c r="I55" s="10">
        <v>20.22</v>
      </c>
      <c r="J55" s="45"/>
    </row>
    <row r="56" spans="1:10" ht="20.149999999999999" customHeight="1" x14ac:dyDescent="0.4">
      <c r="A56" s="2">
        <v>1</v>
      </c>
      <c r="B56" s="3">
        <v>0</v>
      </c>
      <c r="C56" s="3">
        <v>20948</v>
      </c>
      <c r="D56" s="3">
        <v>20948</v>
      </c>
      <c r="E56" s="3">
        <v>25000</v>
      </c>
      <c r="F56" s="5" t="s">
        <v>79</v>
      </c>
      <c r="G56" s="8">
        <v>40</v>
      </c>
      <c r="H56" s="8" t="s">
        <v>15</v>
      </c>
      <c r="I56" s="10">
        <v>20.23</v>
      </c>
      <c r="J56" s="45"/>
    </row>
    <row r="57" spans="1:10" ht="20.149999999999999" customHeight="1" x14ac:dyDescent="0.4">
      <c r="A57" s="2">
        <v>0</v>
      </c>
      <c r="B57" s="3">
        <v>0</v>
      </c>
      <c r="C57" s="3">
        <v>0</v>
      </c>
      <c r="D57" s="3">
        <v>0</v>
      </c>
      <c r="E57" s="3">
        <v>0</v>
      </c>
      <c r="F57" s="5" t="s">
        <v>80</v>
      </c>
      <c r="G57" s="8">
        <v>40</v>
      </c>
      <c r="H57" s="8" t="s">
        <v>15</v>
      </c>
      <c r="I57" s="10">
        <v>20.239999999999998</v>
      </c>
      <c r="J57" s="45"/>
    </row>
    <row r="58" spans="1:10" ht="20.149999999999999" customHeight="1" x14ac:dyDescent="0.4">
      <c r="A58" s="2">
        <v>0</v>
      </c>
      <c r="B58" s="3">
        <v>0</v>
      </c>
      <c r="C58" s="3">
        <v>0</v>
      </c>
      <c r="D58" s="3">
        <v>0</v>
      </c>
      <c r="E58" s="3">
        <v>0</v>
      </c>
      <c r="F58" s="5" t="s">
        <v>81</v>
      </c>
      <c r="G58" s="8">
        <v>40</v>
      </c>
      <c r="H58" s="8" t="s">
        <v>15</v>
      </c>
      <c r="I58" s="8">
        <v>20.25</v>
      </c>
      <c r="J58" s="45"/>
    </row>
    <row r="59" spans="1:10" ht="20.149999999999999" customHeight="1" x14ac:dyDescent="0.4">
      <c r="A59" s="2">
        <v>1</v>
      </c>
      <c r="B59" s="3">
        <v>0</v>
      </c>
      <c r="C59" s="3">
        <v>72804</v>
      </c>
      <c r="D59" s="3">
        <v>72804</v>
      </c>
      <c r="E59" s="3">
        <v>70000</v>
      </c>
      <c r="F59" s="5" t="s">
        <v>82</v>
      </c>
      <c r="G59" s="8">
        <v>40</v>
      </c>
      <c r="H59" s="8" t="s">
        <v>15</v>
      </c>
      <c r="I59" s="8">
        <v>20.260000000000002</v>
      </c>
      <c r="J59" s="45"/>
    </row>
    <row r="60" spans="1:10" ht="20.149999999999999" customHeight="1" x14ac:dyDescent="0.4">
      <c r="A60" s="2">
        <v>0</v>
      </c>
      <c r="B60" s="3">
        <v>0</v>
      </c>
      <c r="C60" s="3">
        <v>0</v>
      </c>
      <c r="D60" s="3">
        <v>0</v>
      </c>
      <c r="E60" s="3">
        <v>10</v>
      </c>
      <c r="F60" s="5" t="s">
        <v>83</v>
      </c>
      <c r="G60" s="8">
        <v>40</v>
      </c>
      <c r="H60" s="8" t="s">
        <v>15</v>
      </c>
      <c r="I60" s="8">
        <v>20.27</v>
      </c>
      <c r="J60" s="45"/>
    </row>
    <row r="61" spans="1:10" ht="20.149999999999999" customHeight="1" x14ac:dyDescent="0.4">
      <c r="A61" s="2">
        <v>0</v>
      </c>
      <c r="B61" s="3">
        <v>0</v>
      </c>
      <c r="C61" s="3">
        <v>0</v>
      </c>
      <c r="D61" s="3">
        <v>0</v>
      </c>
      <c r="E61" s="3">
        <v>0</v>
      </c>
      <c r="F61" s="5" t="s">
        <v>84</v>
      </c>
      <c r="G61" s="8">
        <v>40</v>
      </c>
      <c r="H61" s="8" t="s">
        <v>15</v>
      </c>
      <c r="I61" s="8">
        <v>20.329999999999998</v>
      </c>
      <c r="J61" s="45"/>
    </row>
    <row r="62" spans="1:10" ht="20.149999999999999" customHeight="1" x14ac:dyDescent="0.4">
      <c r="A62" s="2">
        <v>0</v>
      </c>
      <c r="B62" s="3">
        <v>0</v>
      </c>
      <c r="C62" s="3">
        <v>0</v>
      </c>
      <c r="D62" s="3">
        <v>0</v>
      </c>
      <c r="E62" s="3">
        <v>0</v>
      </c>
      <c r="F62" s="5" t="s">
        <v>85</v>
      </c>
      <c r="G62" s="8">
        <v>40</v>
      </c>
      <c r="H62" s="8" t="s">
        <v>15</v>
      </c>
      <c r="I62" s="8">
        <v>20.36</v>
      </c>
      <c r="J62" s="45"/>
    </row>
    <row r="63" spans="1:10" ht="20.149999999999999" customHeight="1" x14ac:dyDescent="0.4">
      <c r="A63" s="2">
        <v>1</v>
      </c>
      <c r="B63" s="3">
        <v>0</v>
      </c>
      <c r="C63" s="3">
        <v>16856</v>
      </c>
      <c r="D63" s="3">
        <v>16856</v>
      </c>
      <c r="E63" s="3">
        <v>10</v>
      </c>
      <c r="F63" s="5" t="s">
        <v>86</v>
      </c>
      <c r="G63" s="8">
        <v>40</v>
      </c>
      <c r="H63" s="8" t="s">
        <v>15</v>
      </c>
      <c r="I63" s="10">
        <v>20.37</v>
      </c>
      <c r="J63" s="45"/>
    </row>
    <row r="64" spans="1:10" ht="20.149999999999999" customHeight="1" x14ac:dyDescent="0.4">
      <c r="A64" s="2">
        <v>0</v>
      </c>
      <c r="B64" s="3">
        <v>0</v>
      </c>
      <c r="C64" s="3">
        <v>0</v>
      </c>
      <c r="D64" s="3">
        <v>0</v>
      </c>
      <c r="E64" s="3">
        <v>10</v>
      </c>
      <c r="F64" s="5" t="s">
        <v>87</v>
      </c>
      <c r="G64" s="8">
        <v>40</v>
      </c>
      <c r="H64" s="8" t="s">
        <v>15</v>
      </c>
      <c r="I64" s="10">
        <v>20.38</v>
      </c>
      <c r="J64" s="45"/>
    </row>
    <row r="65" spans="1:13" ht="20.149999999999999" customHeight="1" x14ac:dyDescent="0.4">
      <c r="A65" s="2">
        <v>0</v>
      </c>
      <c r="B65" s="3">
        <v>0</v>
      </c>
      <c r="C65" s="3">
        <v>0</v>
      </c>
      <c r="D65" s="3">
        <v>0</v>
      </c>
      <c r="E65" s="3">
        <v>0</v>
      </c>
      <c r="F65" s="5" t="s">
        <v>88</v>
      </c>
      <c r="G65" s="8">
        <v>40</v>
      </c>
      <c r="H65" s="8" t="s">
        <v>15</v>
      </c>
      <c r="I65" s="8">
        <v>30.31</v>
      </c>
      <c r="J65" s="45"/>
    </row>
    <row r="66" spans="1:13" ht="20.149999999999999" customHeight="1" x14ac:dyDescent="0.4">
      <c r="A66" s="2">
        <v>1</v>
      </c>
      <c r="B66" s="3">
        <v>0</v>
      </c>
      <c r="C66" s="3">
        <v>1441.5</v>
      </c>
      <c r="D66" s="3">
        <v>1441.5</v>
      </c>
      <c r="E66" s="3">
        <v>2300</v>
      </c>
      <c r="F66" s="5" t="s">
        <v>89</v>
      </c>
      <c r="G66" s="8">
        <v>40</v>
      </c>
      <c r="H66" s="8" t="s">
        <v>15</v>
      </c>
      <c r="I66" s="10" t="s">
        <v>90</v>
      </c>
      <c r="J66" s="45"/>
    </row>
    <row r="67" spans="1:13" ht="20.149999999999999" customHeight="1" x14ac:dyDescent="0.4">
      <c r="A67" s="2">
        <v>1</v>
      </c>
      <c r="B67" s="3">
        <v>0</v>
      </c>
      <c r="C67" s="3">
        <v>1405</v>
      </c>
      <c r="D67" s="3">
        <v>1405</v>
      </c>
      <c r="E67" s="3">
        <v>2200</v>
      </c>
      <c r="F67" s="5" t="s">
        <v>91</v>
      </c>
      <c r="G67" s="8">
        <v>40</v>
      </c>
      <c r="H67" s="8" t="s">
        <v>15</v>
      </c>
      <c r="I67" s="8">
        <v>30.35</v>
      </c>
      <c r="J67" s="45"/>
    </row>
    <row r="68" spans="1:13" ht="20.149999999999999" customHeight="1" x14ac:dyDescent="0.4">
      <c r="A68" s="2">
        <v>0</v>
      </c>
      <c r="B68" s="3">
        <v>0</v>
      </c>
      <c r="C68" s="3">
        <v>0</v>
      </c>
      <c r="D68" s="3">
        <v>0</v>
      </c>
      <c r="E68" s="3">
        <v>0</v>
      </c>
      <c r="F68" s="5" t="s">
        <v>92</v>
      </c>
      <c r="G68" s="8">
        <v>40</v>
      </c>
      <c r="H68" s="8" t="s">
        <v>15</v>
      </c>
      <c r="I68" s="8">
        <v>30.36</v>
      </c>
      <c r="J68" s="45"/>
    </row>
    <row r="69" spans="1:13" ht="20.149999999999999" customHeight="1" x14ac:dyDescent="0.4">
      <c r="A69" s="2">
        <v>0</v>
      </c>
      <c r="B69" s="3">
        <v>0</v>
      </c>
      <c r="C69" s="3">
        <v>0</v>
      </c>
      <c r="D69" s="3">
        <v>0</v>
      </c>
      <c r="E69" s="3">
        <v>10</v>
      </c>
      <c r="F69" s="5" t="s">
        <v>93</v>
      </c>
      <c r="G69" s="8">
        <v>40</v>
      </c>
      <c r="H69" s="8" t="s">
        <v>15</v>
      </c>
      <c r="I69" s="8">
        <v>30.37</v>
      </c>
      <c r="J69" s="45"/>
    </row>
    <row r="70" spans="1:13" ht="20.149999999999999" customHeight="1" x14ac:dyDescent="0.4">
      <c r="A70" s="2">
        <v>0</v>
      </c>
      <c r="B70" s="3">
        <v>0</v>
      </c>
      <c r="C70" s="3">
        <v>0</v>
      </c>
      <c r="D70" s="3">
        <v>0</v>
      </c>
      <c r="E70" s="3">
        <v>10</v>
      </c>
      <c r="F70" s="5" t="s">
        <v>94</v>
      </c>
      <c r="G70" s="8">
        <v>40</v>
      </c>
      <c r="H70" s="8" t="s">
        <v>15</v>
      </c>
      <c r="I70" s="8">
        <v>30.42</v>
      </c>
      <c r="J70" s="45"/>
    </row>
    <row r="71" spans="1:13" ht="20.149999999999999" customHeight="1" x14ac:dyDescent="0.4">
      <c r="A71" s="2">
        <v>1</v>
      </c>
      <c r="B71" s="3">
        <v>0</v>
      </c>
      <c r="C71" s="3">
        <v>1181969.93</v>
      </c>
      <c r="D71" s="3">
        <v>1181969.93</v>
      </c>
      <c r="E71" s="3">
        <v>950000</v>
      </c>
      <c r="F71" s="5" t="s">
        <v>95</v>
      </c>
      <c r="G71" s="8">
        <v>40</v>
      </c>
      <c r="H71" s="8" t="s">
        <v>20</v>
      </c>
      <c r="I71" s="8">
        <v>30.43</v>
      </c>
      <c r="J71" s="45"/>
    </row>
    <row r="72" spans="1:13" ht="20.149999999999999" customHeight="1" x14ac:dyDescent="0.4">
      <c r="A72" s="2">
        <v>0</v>
      </c>
      <c r="B72" s="3">
        <v>0</v>
      </c>
      <c r="C72" s="3">
        <v>0</v>
      </c>
      <c r="D72" s="3">
        <v>0</v>
      </c>
      <c r="E72" s="3"/>
      <c r="F72" s="6" t="s">
        <v>96</v>
      </c>
      <c r="G72" s="8">
        <v>40</v>
      </c>
      <c r="H72" s="8" t="s">
        <v>20</v>
      </c>
      <c r="I72" s="12">
        <v>10.11</v>
      </c>
      <c r="J72" s="45"/>
    </row>
    <row r="73" spans="1:13" ht="20.149999999999999" customHeight="1" x14ac:dyDescent="0.4">
      <c r="A73" s="2">
        <v>1</v>
      </c>
      <c r="B73" s="3">
        <v>0</v>
      </c>
      <c r="C73" s="3">
        <v>16254</v>
      </c>
      <c r="D73" s="3">
        <v>16254</v>
      </c>
      <c r="E73" s="3">
        <v>15000</v>
      </c>
      <c r="F73" s="5" t="s">
        <v>97</v>
      </c>
      <c r="G73" s="8">
        <v>40</v>
      </c>
      <c r="H73" s="8" t="s">
        <v>20</v>
      </c>
      <c r="I73" s="12">
        <v>10.16</v>
      </c>
      <c r="J73" s="45"/>
    </row>
    <row r="74" spans="1:13" ht="20.149999999999999" customHeight="1" x14ac:dyDescent="0.4">
      <c r="A74" s="2">
        <v>0</v>
      </c>
      <c r="B74" s="3">
        <v>0</v>
      </c>
      <c r="C74" s="3">
        <v>0</v>
      </c>
      <c r="D74" s="3">
        <v>0</v>
      </c>
      <c r="E74" s="3">
        <v>0</v>
      </c>
      <c r="F74" s="5" t="s">
        <v>98</v>
      </c>
      <c r="G74" s="8">
        <v>40</v>
      </c>
      <c r="H74" s="8" t="s">
        <v>20</v>
      </c>
      <c r="I74" s="8">
        <v>20.22</v>
      </c>
      <c r="J74" s="45"/>
    </row>
    <row r="75" spans="1:13" ht="20.149999999999999" customHeight="1" x14ac:dyDescent="0.4">
      <c r="A75" s="2">
        <v>0</v>
      </c>
      <c r="B75" s="3">
        <v>0</v>
      </c>
      <c r="C75" s="3">
        <v>0</v>
      </c>
      <c r="D75" s="3">
        <v>0</v>
      </c>
      <c r="E75" s="3">
        <v>0</v>
      </c>
      <c r="F75" s="7" t="s">
        <v>99</v>
      </c>
      <c r="G75" s="8">
        <v>40</v>
      </c>
      <c r="H75" s="8" t="s">
        <v>20</v>
      </c>
      <c r="I75" s="8">
        <v>20.239999999999998</v>
      </c>
      <c r="J75" s="45"/>
    </row>
    <row r="76" spans="1:13" ht="20.149999999999999" customHeight="1" x14ac:dyDescent="0.4">
      <c r="A76" s="2">
        <v>0</v>
      </c>
      <c r="B76" s="3">
        <v>0</v>
      </c>
      <c r="C76" s="3">
        <v>0</v>
      </c>
      <c r="D76" s="3">
        <v>0</v>
      </c>
      <c r="E76" s="3">
        <v>0</v>
      </c>
      <c r="F76" s="5" t="s">
        <v>100</v>
      </c>
      <c r="G76" s="8">
        <v>40</v>
      </c>
      <c r="H76" s="8" t="s">
        <v>20</v>
      </c>
      <c r="I76" s="10">
        <v>30.31</v>
      </c>
      <c r="J76" s="45"/>
    </row>
    <row r="77" spans="1:13" ht="20.149999999999999" customHeight="1" x14ac:dyDescent="0.4">
      <c r="A77" s="2">
        <v>0</v>
      </c>
      <c r="B77" s="3">
        <v>0</v>
      </c>
      <c r="C77" s="3">
        <v>0</v>
      </c>
      <c r="D77" s="3">
        <v>0</v>
      </c>
      <c r="E77" s="3">
        <v>0</v>
      </c>
      <c r="F77" s="5" t="s">
        <v>101</v>
      </c>
      <c r="G77" s="8">
        <v>40</v>
      </c>
      <c r="H77" s="8" t="s">
        <v>20</v>
      </c>
      <c r="I77" s="10">
        <v>30.32</v>
      </c>
      <c r="J77" s="45"/>
      <c r="M77" s="69"/>
    </row>
    <row r="78" spans="1:13" ht="20.149999999999999" customHeight="1" x14ac:dyDescent="0.4">
      <c r="A78" s="2">
        <v>1</v>
      </c>
      <c r="B78" s="3">
        <v>0</v>
      </c>
      <c r="C78" s="3">
        <v>7400</v>
      </c>
      <c r="D78" s="3">
        <v>7400</v>
      </c>
      <c r="E78" s="3">
        <v>7500</v>
      </c>
      <c r="F78" s="5" t="s">
        <v>102</v>
      </c>
      <c r="G78" s="8">
        <v>40</v>
      </c>
      <c r="H78" s="8" t="s">
        <v>20</v>
      </c>
      <c r="I78" s="10">
        <v>30.33</v>
      </c>
      <c r="J78" s="45"/>
      <c r="M78" s="44" t="s">
        <v>103</v>
      </c>
    </row>
    <row r="79" spans="1:13" ht="20.149999999999999" customHeight="1" x14ac:dyDescent="0.4">
      <c r="A79" s="2">
        <v>0</v>
      </c>
      <c r="B79" s="3">
        <v>0</v>
      </c>
      <c r="C79" s="3">
        <v>91953.97</v>
      </c>
      <c r="D79" s="3">
        <v>91953.97</v>
      </c>
      <c r="E79" s="3">
        <v>103627.29</v>
      </c>
      <c r="F79" s="5" t="s">
        <v>104</v>
      </c>
      <c r="G79" s="8">
        <v>50</v>
      </c>
      <c r="H79" s="8" t="s">
        <v>15</v>
      </c>
      <c r="I79" s="8">
        <v>10</v>
      </c>
      <c r="J79" s="45"/>
    </row>
    <row r="80" spans="1:13" ht="20.149999999999999" customHeight="1" x14ac:dyDescent="0.4">
      <c r="A80" s="2">
        <v>0</v>
      </c>
      <c r="B80" s="3">
        <v>0</v>
      </c>
      <c r="C80" s="3">
        <v>0</v>
      </c>
      <c r="D80" s="3">
        <v>0</v>
      </c>
      <c r="E80" s="3">
        <v>10</v>
      </c>
      <c r="F80" s="5" t="s">
        <v>105</v>
      </c>
      <c r="G80" s="8">
        <v>50</v>
      </c>
      <c r="H80" s="8" t="s">
        <v>28</v>
      </c>
      <c r="I80" s="8">
        <v>20</v>
      </c>
      <c r="J80" s="45"/>
    </row>
    <row r="81" spans="1:14" ht="20.149999999999999" customHeight="1" x14ac:dyDescent="0.4">
      <c r="A81" s="2">
        <v>0</v>
      </c>
      <c r="B81" s="3">
        <v>0</v>
      </c>
      <c r="C81" s="3">
        <v>0</v>
      </c>
      <c r="D81" s="3">
        <v>0</v>
      </c>
      <c r="E81" s="3">
        <v>650.29</v>
      </c>
      <c r="F81" s="5" t="s">
        <v>106</v>
      </c>
      <c r="G81" s="8">
        <v>50</v>
      </c>
      <c r="H81" s="8" t="s">
        <v>28</v>
      </c>
      <c r="I81" s="8">
        <v>40</v>
      </c>
      <c r="J81" s="45"/>
    </row>
    <row r="82" spans="1:14" ht="20.149999999999999" customHeight="1" x14ac:dyDescent="0.4">
      <c r="A82" s="2">
        <v>0</v>
      </c>
      <c r="B82" s="3">
        <v>0</v>
      </c>
      <c r="C82" s="3">
        <v>0</v>
      </c>
      <c r="D82" s="3">
        <v>0</v>
      </c>
      <c r="E82" s="3">
        <v>82969.02</v>
      </c>
      <c r="F82" s="5" t="s">
        <v>107</v>
      </c>
      <c r="G82" s="8">
        <v>60</v>
      </c>
      <c r="H82" s="8" t="s">
        <v>15</v>
      </c>
      <c r="I82" s="8">
        <v>10</v>
      </c>
      <c r="J82" s="45"/>
    </row>
    <row r="83" spans="1:14" ht="33" customHeight="1" x14ac:dyDescent="0.35">
      <c r="A83" s="2">
        <v>0.93681736342584998</v>
      </c>
      <c r="B83" s="4">
        <v>636909.11</v>
      </c>
      <c r="C83" s="4">
        <v>9443536.1600000001</v>
      </c>
      <c r="D83" s="4">
        <v>10080445.27</v>
      </c>
      <c r="E83" s="4">
        <v>9384051.7200000007</v>
      </c>
      <c r="F83" s="98" t="s">
        <v>108</v>
      </c>
      <c r="G83" s="98"/>
      <c r="H83" s="98"/>
      <c r="I83" s="98"/>
      <c r="J83" s="99"/>
    </row>
    <row r="84" spans="1:14" ht="20.149999999999999" customHeight="1" x14ac:dyDescent="0.35">
      <c r="A84" s="14"/>
      <c r="B84" s="15"/>
      <c r="C84" s="15"/>
      <c r="D84" s="15"/>
      <c r="E84" s="15"/>
      <c r="F84" s="16"/>
      <c r="G84" s="16"/>
      <c r="H84" s="16"/>
      <c r="I84" s="16"/>
      <c r="J84" s="16"/>
      <c r="K84" s="69"/>
    </row>
    <row r="85" spans="1:14" ht="20.149999999999999" customHeight="1" x14ac:dyDescent="0.45">
      <c r="C85" s="46"/>
      <c r="D85" s="46"/>
      <c r="E85" s="46"/>
      <c r="F85" s="103" t="s">
        <v>109</v>
      </c>
      <c r="G85" s="103"/>
      <c r="H85" s="103"/>
      <c r="I85" s="103"/>
      <c r="M85" s="75"/>
    </row>
    <row r="86" spans="1:14" ht="20.149999999999999" customHeight="1" x14ac:dyDescent="0.4">
      <c r="A86" s="2" t="str">
        <f>C86/D86</f>
        <v>0</v>
      </c>
      <c r="B86" s="3">
        <v>0</v>
      </c>
      <c r="C86" s="3" t="str">
        <f>#REF!</f>
        <v>0</v>
      </c>
      <c r="D86" s="3" t="str">
        <f>#REF!</f>
        <v>0</v>
      </c>
      <c r="E86" s="3" t="str">
        <f>#REF!</f>
        <v>0</v>
      </c>
      <c r="F86" s="5" t="s">
        <v>110</v>
      </c>
      <c r="G86" s="13">
        <v>50</v>
      </c>
      <c r="H86" s="13">
        <v>10</v>
      </c>
      <c r="I86" s="13">
        <v>11</v>
      </c>
      <c r="J86" s="45"/>
      <c r="K86" s="69"/>
    </row>
    <row r="87" spans="1:14" ht="20.149999999999999" customHeight="1" x14ac:dyDescent="0.4">
      <c r="A87" s="2" t="str">
        <f>C87/D87</f>
        <v>0</v>
      </c>
      <c r="B87" s="3">
        <v>0</v>
      </c>
      <c r="C87" s="3" t="str">
        <f>#REF!</f>
        <v>0</v>
      </c>
      <c r="D87" s="3" t="str">
        <f>#REF!</f>
        <v>0</v>
      </c>
      <c r="E87" s="3" t="str">
        <f>#REF!</f>
        <v>0</v>
      </c>
      <c r="F87" s="5" t="s">
        <v>111</v>
      </c>
      <c r="G87" s="13">
        <v>50</v>
      </c>
      <c r="H87" s="13">
        <v>10</v>
      </c>
      <c r="I87" s="13">
        <v>12</v>
      </c>
      <c r="J87" s="45"/>
      <c r="M87" s="84"/>
      <c r="N87" s="84"/>
    </row>
    <row r="88" spans="1:14" ht="20.149999999999999" customHeight="1" x14ac:dyDescent="0.4">
      <c r="A88" s="2" t="str">
        <f>C88/D88</f>
        <v>0</v>
      </c>
      <c r="B88" s="3">
        <v>0</v>
      </c>
      <c r="C88" s="3" t="str">
        <f>D88</f>
        <v>0</v>
      </c>
      <c r="D88" s="3" t="str">
        <f>#REF!</f>
        <v>0</v>
      </c>
      <c r="E88" s="3">
        <v>0</v>
      </c>
      <c r="F88" s="72" t="str">
        <f>#REF!</f>
        <v>0</v>
      </c>
      <c r="G88" s="13">
        <v>50</v>
      </c>
      <c r="H88" s="13">
        <v>10</v>
      </c>
      <c r="I88" s="13">
        <v>21</v>
      </c>
      <c r="J88" s="45"/>
    </row>
    <row r="89" spans="1:14" ht="20.149999999999999" customHeight="1" x14ac:dyDescent="0.4">
      <c r="A89" s="2">
        <v>0</v>
      </c>
      <c r="B89" s="3" t="str">
        <f>D89-C89</f>
        <v>0</v>
      </c>
      <c r="C89" s="3" t="str">
        <f>D89</f>
        <v>0</v>
      </c>
      <c r="D89" s="3" t="str">
        <f>#REF!</f>
        <v>0</v>
      </c>
      <c r="E89" s="3" t="str">
        <f>#REF!</f>
        <v>0</v>
      </c>
      <c r="F89" s="77" t="str">
        <f>#REF!</f>
        <v>0</v>
      </c>
      <c r="G89" s="13">
        <v>50</v>
      </c>
      <c r="H89" s="13">
        <v>30</v>
      </c>
      <c r="I89" s="13">
        <v>11</v>
      </c>
      <c r="J89" s="45"/>
      <c r="L89" s="69"/>
    </row>
    <row r="90" spans="1:14" ht="20.149999999999999" customHeight="1" x14ac:dyDescent="0.4">
      <c r="A90" s="2">
        <v>0</v>
      </c>
      <c r="B90" s="3" t="str">
        <f>D90-C90</f>
        <v>0</v>
      </c>
      <c r="C90" s="3" t="str">
        <f>#REF!</f>
        <v>0</v>
      </c>
      <c r="D90" s="3" t="str">
        <f>#REF!</f>
        <v>0</v>
      </c>
      <c r="E90" s="3" t="str">
        <f>#REF!</f>
        <v>0</v>
      </c>
      <c r="F90" s="5" t="str">
        <f>#REF!</f>
        <v>0</v>
      </c>
      <c r="G90" s="13">
        <v>50</v>
      </c>
      <c r="H90" s="13">
        <v>30</v>
      </c>
      <c r="I90" s="13">
        <v>21</v>
      </c>
      <c r="J90" s="45"/>
    </row>
    <row r="91" spans="1:14" ht="30" customHeight="1" x14ac:dyDescent="0.35">
      <c r="A91" s="2" t="str">
        <f>C91/D91</f>
        <v>0</v>
      </c>
      <c r="B91" s="4">
        <f>SUM(B86:B90)</f>
        <v>0</v>
      </c>
      <c r="C91" s="4">
        <f>SUM(C86:C90)</f>
        <v>0</v>
      </c>
      <c r="D91" s="4">
        <f>SUM(D86:D90)</f>
        <v>0</v>
      </c>
      <c r="E91" s="4">
        <f>SUM(E86:E90)</f>
        <v>0</v>
      </c>
      <c r="F91" s="98" t="s">
        <v>108</v>
      </c>
      <c r="G91" s="98"/>
      <c r="H91" s="98"/>
      <c r="I91" s="98"/>
      <c r="J91" s="99"/>
    </row>
    <row r="92" spans="1:14" s="84" customFormat="1" ht="24.75" customHeight="1" x14ac:dyDescent="0.45">
      <c r="A92" s="21"/>
      <c r="B92" s="104"/>
      <c r="C92" s="104"/>
      <c r="D92" s="104"/>
      <c r="E92" s="83"/>
      <c r="F92" s="83"/>
      <c r="G92" s="21"/>
      <c r="H92" s="21"/>
      <c r="I92" s="21"/>
      <c r="J92" s="21" t="s">
        <v>112</v>
      </c>
      <c r="L92" s="85"/>
      <c r="M92" s="44"/>
      <c r="N92" s="44"/>
    </row>
    <row r="93" spans="1:14" ht="20.149999999999999" customHeight="1" x14ac:dyDescent="0.45">
      <c r="B93" s="97" t="s">
        <v>113</v>
      </c>
      <c r="C93" s="97"/>
      <c r="D93" s="97"/>
      <c r="E93" s="17"/>
      <c r="F93" s="17"/>
      <c r="G93" s="18"/>
      <c r="H93" s="18"/>
      <c r="I93" s="17" t="s">
        <v>114</v>
      </c>
      <c r="J93" s="18" t="s">
        <v>114</v>
      </c>
    </row>
  </sheetData>
  <mergeCells count="13">
    <mergeCell ref="A7:B8"/>
    <mergeCell ref="F7:I7"/>
    <mergeCell ref="B93:D93"/>
    <mergeCell ref="F83:J83"/>
    <mergeCell ref="F91:J91"/>
    <mergeCell ref="F9:J9"/>
    <mergeCell ref="F85:I85"/>
    <mergeCell ref="B92:D92"/>
    <mergeCell ref="G1:J1"/>
    <mergeCell ref="G2:J2"/>
    <mergeCell ref="G3:J3"/>
    <mergeCell ref="G4:J4"/>
    <mergeCell ref="B6:G6"/>
  </mergeCells>
  <printOptions horizontalCentered="1"/>
  <pageMargins left="0.16" right="0.11811023622047" top="0.11" bottom="0.15748031496063" header="0" footer="0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topLeftCell="A19" zoomScale="80" zoomScaleNormal="80" workbookViewId="0">
      <selection activeCell="O78" sqref="O78"/>
    </sheetView>
  </sheetViews>
  <sheetFormatPr baseColWidth="10" defaultColWidth="11.453125" defaultRowHeight="22.5" customHeight="1" x14ac:dyDescent="0.35"/>
  <cols>
    <col min="1" max="5" width="18" style="27" customWidth="1"/>
    <col min="6" max="6" width="60" style="27" customWidth="1"/>
    <col min="7" max="7" width="8.1796875" style="27" customWidth="1"/>
    <col min="8" max="9" width="6.1796875" style="27" customWidth="1"/>
    <col min="10" max="10" width="5.1796875" style="27" customWidth="1"/>
  </cols>
  <sheetData>
    <row r="1" spans="1:10" ht="22.5" customHeight="1" x14ac:dyDescent="0.35">
      <c r="G1" s="107" t="str">
        <f>+'قائمة الموارد المالية'!G1:J1</f>
        <v>المملكة المغربية</v>
      </c>
      <c r="H1" s="107"/>
      <c r="I1" s="107"/>
      <c r="J1" s="107"/>
    </row>
    <row r="2" spans="1:10" ht="22.5" customHeight="1" x14ac:dyDescent="0.35">
      <c r="G2" s="107" t="str">
        <f>+'قائمة الموارد المالية'!G2:J2</f>
        <v>وزارة الداخلية</v>
      </c>
      <c r="H2" s="107"/>
      <c r="I2" s="107"/>
      <c r="J2" s="107"/>
    </row>
    <row r="3" spans="1:10" ht="22.5" customHeight="1" x14ac:dyDescent="0.35">
      <c r="G3" s="107" t="str">
        <f>+'قائمة الموارد المالية'!G3:J3</f>
        <v>جهة درعة تافيلالت</v>
      </c>
      <c r="H3" s="107"/>
      <c r="I3" s="107"/>
      <c r="J3" s="107"/>
    </row>
    <row r="4" spans="1:10" ht="22.5" customHeight="1" x14ac:dyDescent="0.35">
      <c r="G4" s="107" t="str">
        <f>+'قائمة الموارد المالية'!G4:J4</f>
        <v xml:space="preserve">    إقـليــم تــنــغيــر</v>
      </c>
      <c r="H4" s="107"/>
      <c r="I4" s="107"/>
      <c r="J4" s="107"/>
    </row>
    <row r="5" spans="1:10" ht="22.5" customHeight="1" x14ac:dyDescent="0.35">
      <c r="G5" s="107" t="str">
        <f>'قائمة الموارد المالية'!I5</f>
        <v xml:space="preserve"> جماعة سوق الخميس دادس</v>
      </c>
      <c r="H5" s="107"/>
      <c r="I5" s="107"/>
      <c r="J5" s="107"/>
    </row>
    <row r="6" spans="1:10" ht="22.5" customHeight="1" x14ac:dyDescent="0.35">
      <c r="B6" s="108" t="s">
        <v>115</v>
      </c>
      <c r="C6" s="108"/>
      <c r="D6" s="108"/>
      <c r="E6" s="108"/>
      <c r="F6" s="108"/>
      <c r="G6" s="108"/>
    </row>
    <row r="7" spans="1:10" ht="22.5" customHeight="1" x14ac:dyDescent="0.35">
      <c r="A7" s="109" t="s">
        <v>6</v>
      </c>
      <c r="B7" s="109"/>
    </row>
    <row r="8" spans="1:10" ht="6" customHeight="1" x14ac:dyDescent="0.35"/>
    <row r="9" spans="1:10" ht="22.5" customHeight="1" x14ac:dyDescent="0.35">
      <c r="A9" s="113" t="s">
        <v>116</v>
      </c>
      <c r="B9" s="119" t="s">
        <v>117</v>
      </c>
      <c r="C9" s="119" t="s">
        <v>118</v>
      </c>
      <c r="D9" s="119" t="s">
        <v>119</v>
      </c>
      <c r="E9" s="119" t="s">
        <v>120</v>
      </c>
      <c r="F9" s="122" t="s">
        <v>121</v>
      </c>
      <c r="G9" s="110"/>
      <c r="H9" s="110"/>
      <c r="I9" s="110"/>
      <c r="J9" s="116"/>
    </row>
    <row r="10" spans="1:10" ht="22.5" customHeight="1" x14ac:dyDescent="0.35">
      <c r="A10" s="114"/>
      <c r="B10" s="120"/>
      <c r="C10" s="120"/>
      <c r="D10" s="120"/>
      <c r="E10" s="120"/>
      <c r="F10" s="123"/>
      <c r="G10" s="111"/>
      <c r="H10" s="111"/>
      <c r="I10" s="111"/>
      <c r="J10" s="117"/>
    </row>
    <row r="11" spans="1:10" ht="13.5" customHeight="1" x14ac:dyDescent="0.35">
      <c r="A11" s="115"/>
      <c r="B11" s="121"/>
      <c r="C11" s="121"/>
      <c r="D11" s="121"/>
      <c r="E11" s="121"/>
      <c r="F11" s="124"/>
      <c r="G11" s="112"/>
      <c r="H11" s="112"/>
      <c r="I11" s="112"/>
      <c r="J11" s="118"/>
    </row>
    <row r="12" spans="1:10" ht="22.5" customHeight="1" x14ac:dyDescent="0.35">
      <c r="A12" s="28">
        <v>0</v>
      </c>
      <c r="B12" s="29">
        <v>1750</v>
      </c>
      <c r="C12" s="29">
        <v>300650</v>
      </c>
      <c r="D12" s="29">
        <v>302400</v>
      </c>
      <c r="E12" s="29">
        <v>302400</v>
      </c>
      <c r="F12" s="1" t="s">
        <v>122</v>
      </c>
      <c r="G12" s="30">
        <v>10.11</v>
      </c>
      <c r="H12" s="30">
        <v>10</v>
      </c>
      <c r="I12" s="30">
        <v>10</v>
      </c>
      <c r="J12" s="31"/>
    </row>
    <row r="13" spans="1:10" ht="22.5" customHeight="1" x14ac:dyDescent="0.35">
      <c r="A13" s="28">
        <v>0</v>
      </c>
      <c r="B13" s="29">
        <v>0</v>
      </c>
      <c r="C13" s="29">
        <v>0</v>
      </c>
      <c r="D13" s="29">
        <v>0</v>
      </c>
      <c r="E13" s="29">
        <v>0</v>
      </c>
      <c r="F13" s="1" t="s">
        <v>123</v>
      </c>
      <c r="G13" s="30">
        <v>10.119999999999999</v>
      </c>
      <c r="H13" s="30">
        <v>10</v>
      </c>
      <c r="I13" s="30">
        <v>10</v>
      </c>
      <c r="J13" s="32"/>
    </row>
    <row r="14" spans="1:10" ht="22.5" customHeight="1" x14ac:dyDescent="0.35">
      <c r="A14" s="28">
        <v>0</v>
      </c>
      <c r="B14" s="29">
        <v>13280</v>
      </c>
      <c r="C14" s="29">
        <v>21720</v>
      </c>
      <c r="D14" s="29">
        <v>21720</v>
      </c>
      <c r="E14" s="29">
        <v>35000</v>
      </c>
      <c r="F14" s="1" t="s">
        <v>124</v>
      </c>
      <c r="G14" s="30">
        <v>10.14</v>
      </c>
      <c r="H14" s="30">
        <v>10</v>
      </c>
      <c r="I14" s="30">
        <v>10</v>
      </c>
      <c r="J14" s="32"/>
    </row>
    <row r="15" spans="1:10" ht="22.5" customHeight="1" x14ac:dyDescent="0.35">
      <c r="A15" s="28">
        <v>0</v>
      </c>
      <c r="B15" s="29">
        <v>0</v>
      </c>
      <c r="C15" s="29">
        <v>10000</v>
      </c>
      <c r="D15" s="29">
        <v>10000</v>
      </c>
      <c r="E15" s="29">
        <v>10000</v>
      </c>
      <c r="F15" s="1" t="s">
        <v>125</v>
      </c>
      <c r="G15" s="30">
        <v>10.16</v>
      </c>
      <c r="H15" s="30">
        <v>10</v>
      </c>
      <c r="I15" s="30">
        <v>10</v>
      </c>
      <c r="J15" s="32"/>
    </row>
    <row r="16" spans="1:10" ht="22.5" customHeight="1" x14ac:dyDescent="0.35">
      <c r="A16" s="28">
        <v>12120</v>
      </c>
      <c r="B16" s="29">
        <v>17880</v>
      </c>
      <c r="C16" s="29">
        <v>0</v>
      </c>
      <c r="D16" s="29">
        <v>12120</v>
      </c>
      <c r="E16" s="29">
        <v>30000</v>
      </c>
      <c r="F16" s="1" t="s">
        <v>126</v>
      </c>
      <c r="G16" s="30">
        <v>20.21</v>
      </c>
      <c r="H16" s="30">
        <v>10</v>
      </c>
      <c r="I16" s="30">
        <v>10</v>
      </c>
      <c r="J16" s="32"/>
    </row>
    <row r="17" spans="1:10" ht="22.5" customHeight="1" x14ac:dyDescent="0.35">
      <c r="A17" s="28">
        <v>0</v>
      </c>
      <c r="B17" s="29">
        <v>39440</v>
      </c>
      <c r="C17" s="29">
        <v>10560</v>
      </c>
      <c r="D17" s="29">
        <v>10560</v>
      </c>
      <c r="E17" s="29">
        <v>50000</v>
      </c>
      <c r="F17" s="1" t="s">
        <v>127</v>
      </c>
      <c r="G17" s="30">
        <v>20.239999999999998</v>
      </c>
      <c r="H17" s="30">
        <v>10</v>
      </c>
      <c r="I17" s="30">
        <v>10</v>
      </c>
      <c r="J17" s="32"/>
    </row>
    <row r="18" spans="1:10" ht="22.5" customHeight="1" x14ac:dyDescent="0.35">
      <c r="A18" s="28">
        <v>0</v>
      </c>
      <c r="B18" s="29">
        <v>0</v>
      </c>
      <c r="C18" s="29">
        <v>0</v>
      </c>
      <c r="D18" s="29">
        <v>0</v>
      </c>
      <c r="E18" s="29">
        <v>0</v>
      </c>
      <c r="F18" s="1" t="s">
        <v>128</v>
      </c>
      <c r="G18" s="30">
        <v>50.51</v>
      </c>
      <c r="H18" s="30">
        <v>10</v>
      </c>
      <c r="I18" s="30">
        <v>10</v>
      </c>
      <c r="J18" s="32"/>
    </row>
    <row r="19" spans="1:10" ht="22.5" customHeight="1" x14ac:dyDescent="0.35">
      <c r="A19" s="28">
        <v>0</v>
      </c>
      <c r="B19" s="29">
        <v>785604.45</v>
      </c>
      <c r="C19" s="29">
        <v>2056395.55</v>
      </c>
      <c r="D19" s="29">
        <v>2056395.55</v>
      </c>
      <c r="E19" s="29">
        <v>2842000</v>
      </c>
      <c r="F19" s="1" t="s">
        <v>129</v>
      </c>
      <c r="G19" s="30">
        <v>10.11</v>
      </c>
      <c r="H19" s="30">
        <v>20</v>
      </c>
      <c r="I19" s="30">
        <v>10</v>
      </c>
      <c r="J19" s="32"/>
    </row>
    <row r="20" spans="1:10" ht="22.5" customHeight="1" x14ac:dyDescent="0.35">
      <c r="A20" s="28">
        <v>0</v>
      </c>
      <c r="B20" s="29">
        <v>478.53999999998001</v>
      </c>
      <c r="C20" s="29">
        <v>359521.46</v>
      </c>
      <c r="D20" s="29">
        <v>359521.46</v>
      </c>
      <c r="E20" s="29">
        <v>360000</v>
      </c>
      <c r="F20" s="1" t="s">
        <v>130</v>
      </c>
      <c r="G20" s="30">
        <v>10.14</v>
      </c>
      <c r="H20" s="30">
        <v>20</v>
      </c>
      <c r="I20" s="30">
        <v>10</v>
      </c>
      <c r="J20" s="32"/>
    </row>
    <row r="21" spans="1:10" ht="22.5" customHeight="1" x14ac:dyDescent="0.35">
      <c r="A21" s="28">
        <v>0</v>
      </c>
      <c r="B21" s="29">
        <v>0</v>
      </c>
      <c r="C21" s="29">
        <v>22000</v>
      </c>
      <c r="D21" s="29">
        <v>22000</v>
      </c>
      <c r="E21" s="29">
        <v>22000</v>
      </c>
      <c r="F21" s="1" t="s">
        <v>131</v>
      </c>
      <c r="G21" s="30">
        <v>20.21</v>
      </c>
      <c r="H21" s="30">
        <v>20</v>
      </c>
      <c r="I21" s="30">
        <v>10</v>
      </c>
      <c r="J21" s="32"/>
    </row>
    <row r="22" spans="1:10" ht="22.5" customHeight="1" x14ac:dyDescent="0.35">
      <c r="A22" s="28">
        <v>0</v>
      </c>
      <c r="B22" s="29">
        <v>0</v>
      </c>
      <c r="C22" s="29">
        <v>600</v>
      </c>
      <c r="D22" s="29">
        <v>600</v>
      </c>
      <c r="E22" s="29">
        <v>600</v>
      </c>
      <c r="F22" s="1" t="s">
        <v>132</v>
      </c>
      <c r="G22" s="30">
        <v>20.22</v>
      </c>
      <c r="H22" s="30">
        <v>20</v>
      </c>
      <c r="I22" s="30">
        <v>10</v>
      </c>
      <c r="J22" s="32"/>
    </row>
    <row r="23" spans="1:10" ht="22.5" customHeight="1" x14ac:dyDescent="0.35">
      <c r="A23" s="28">
        <v>0</v>
      </c>
      <c r="B23" s="29">
        <v>10901.13</v>
      </c>
      <c r="C23" s="29">
        <v>79098.87</v>
      </c>
      <c r="D23" s="29">
        <v>79098.87</v>
      </c>
      <c r="E23" s="29">
        <v>90000</v>
      </c>
      <c r="F23" s="1" t="s">
        <v>133</v>
      </c>
      <c r="G23" s="30">
        <v>20.239999999999998</v>
      </c>
      <c r="H23" s="30">
        <v>20</v>
      </c>
      <c r="I23" s="30">
        <v>10</v>
      </c>
      <c r="J23" s="32"/>
    </row>
    <row r="24" spans="1:10" ht="22.5" customHeight="1" x14ac:dyDescent="0.35">
      <c r="A24" s="29">
        <v>0</v>
      </c>
      <c r="B24" s="29">
        <v>52000</v>
      </c>
      <c r="C24" s="29">
        <v>48000</v>
      </c>
      <c r="D24" s="29">
        <v>48000</v>
      </c>
      <c r="E24" s="29">
        <v>100000</v>
      </c>
      <c r="F24" s="1" t="s">
        <v>134</v>
      </c>
      <c r="G24" s="30">
        <v>20.260000000000002</v>
      </c>
      <c r="H24" s="30">
        <v>20</v>
      </c>
      <c r="I24" s="30">
        <v>10</v>
      </c>
      <c r="J24" s="32"/>
    </row>
    <row r="25" spans="1:10" ht="22.5" customHeight="1" x14ac:dyDescent="0.35">
      <c r="A25" s="68">
        <v>0</v>
      </c>
      <c r="B25" s="29">
        <v>2000</v>
      </c>
      <c r="C25" s="29">
        <v>0</v>
      </c>
      <c r="D25" s="29">
        <v>0</v>
      </c>
      <c r="E25" s="29">
        <v>2000</v>
      </c>
      <c r="F25" s="1" t="s">
        <v>135</v>
      </c>
      <c r="G25" s="30">
        <v>20.27</v>
      </c>
      <c r="H25" s="30">
        <v>20</v>
      </c>
      <c r="I25" s="30">
        <v>10</v>
      </c>
      <c r="J25" s="32"/>
    </row>
    <row r="26" spans="1:10" ht="22.5" customHeight="1" x14ac:dyDescent="0.35">
      <c r="A26" s="28">
        <v>0</v>
      </c>
      <c r="B26" s="29">
        <v>118552.4</v>
      </c>
      <c r="C26" s="29">
        <v>261447.6</v>
      </c>
      <c r="D26" s="29">
        <v>261447.6</v>
      </c>
      <c r="E26" s="29">
        <v>380000</v>
      </c>
      <c r="F26" s="1" t="s">
        <v>136</v>
      </c>
      <c r="G26" s="30">
        <v>30.31</v>
      </c>
      <c r="H26" s="30">
        <v>20</v>
      </c>
      <c r="I26" s="30">
        <v>10</v>
      </c>
      <c r="J26" s="32"/>
    </row>
    <row r="27" spans="1:10" ht="22.5" customHeight="1" x14ac:dyDescent="0.35">
      <c r="A27" s="28">
        <v>0</v>
      </c>
      <c r="B27" s="29">
        <v>45000</v>
      </c>
      <c r="C27" s="29">
        <v>0</v>
      </c>
      <c r="D27" s="29">
        <v>0</v>
      </c>
      <c r="E27" s="29">
        <v>45000</v>
      </c>
      <c r="F27" s="1" t="s">
        <v>137</v>
      </c>
      <c r="G27" s="30">
        <v>30.32</v>
      </c>
      <c r="H27" s="30">
        <v>20</v>
      </c>
      <c r="I27" s="30">
        <v>10</v>
      </c>
      <c r="J27" s="32"/>
    </row>
    <row r="28" spans="1:10" ht="22.5" customHeight="1" x14ac:dyDescent="0.35">
      <c r="A28" s="28">
        <v>0</v>
      </c>
      <c r="B28" s="29">
        <v>93249.87</v>
      </c>
      <c r="C28" s="29">
        <v>42750.13</v>
      </c>
      <c r="D28" s="29">
        <v>42750.13</v>
      </c>
      <c r="E28" s="29">
        <v>136000</v>
      </c>
      <c r="F28" s="1" t="s">
        <v>138</v>
      </c>
      <c r="G28" s="30">
        <v>30.33</v>
      </c>
      <c r="H28" s="30">
        <v>20</v>
      </c>
      <c r="I28" s="30">
        <v>10</v>
      </c>
      <c r="J28" s="32"/>
    </row>
    <row r="29" spans="1:10" ht="22.5" customHeight="1" x14ac:dyDescent="0.35">
      <c r="A29" s="28">
        <v>0</v>
      </c>
      <c r="B29" s="29">
        <v>1200</v>
      </c>
      <c r="C29" s="29">
        <v>0</v>
      </c>
      <c r="D29" s="29">
        <v>0</v>
      </c>
      <c r="E29" s="29">
        <v>1200</v>
      </c>
      <c r="F29" s="1" t="s">
        <v>139</v>
      </c>
      <c r="G29" s="30">
        <v>30.34</v>
      </c>
      <c r="H29" s="30">
        <v>20</v>
      </c>
      <c r="I29" s="30">
        <v>10</v>
      </c>
      <c r="J29" s="32"/>
    </row>
    <row r="30" spans="1:10" ht="22.5" customHeight="1" x14ac:dyDescent="0.35">
      <c r="A30" s="28">
        <v>0</v>
      </c>
      <c r="B30" s="29">
        <v>8000</v>
      </c>
      <c r="C30" s="29">
        <v>12000</v>
      </c>
      <c r="D30" s="29">
        <v>12000</v>
      </c>
      <c r="E30" s="29">
        <v>20000</v>
      </c>
      <c r="F30" s="1" t="s">
        <v>140</v>
      </c>
      <c r="G30" s="30">
        <v>30.35</v>
      </c>
      <c r="H30" s="30">
        <v>20</v>
      </c>
      <c r="I30" s="30">
        <v>10</v>
      </c>
      <c r="J30" s="32"/>
    </row>
    <row r="31" spans="1:10" ht="22.5" customHeight="1" x14ac:dyDescent="0.35">
      <c r="A31" s="28">
        <v>0</v>
      </c>
      <c r="B31" s="29">
        <v>30000</v>
      </c>
      <c r="C31" s="29">
        <v>0</v>
      </c>
      <c r="D31" s="29">
        <v>0</v>
      </c>
      <c r="E31" s="29">
        <v>30000</v>
      </c>
      <c r="F31" s="1" t="s">
        <v>141</v>
      </c>
      <c r="G31" s="30">
        <v>30.38</v>
      </c>
      <c r="H31" s="30">
        <v>20</v>
      </c>
      <c r="I31" s="30">
        <v>10</v>
      </c>
      <c r="J31" s="32"/>
    </row>
    <row r="32" spans="1:10" ht="22.5" customHeight="1" x14ac:dyDescent="0.35">
      <c r="A32" s="28">
        <v>0</v>
      </c>
      <c r="B32" s="29">
        <v>20</v>
      </c>
      <c r="C32" s="29">
        <v>59980</v>
      </c>
      <c r="D32" s="29">
        <v>59980</v>
      </c>
      <c r="E32" s="29">
        <v>60000</v>
      </c>
      <c r="F32" s="1" t="s">
        <v>142</v>
      </c>
      <c r="G32" s="30">
        <v>40.409999999999997</v>
      </c>
      <c r="H32" s="30">
        <v>20</v>
      </c>
      <c r="I32" s="30">
        <v>10</v>
      </c>
      <c r="J32" s="32"/>
    </row>
    <row r="33" spans="1:10" ht="22.5" customHeight="1" x14ac:dyDescent="0.35">
      <c r="A33" s="28">
        <v>0</v>
      </c>
      <c r="B33" s="29">
        <v>0</v>
      </c>
      <c r="C33" s="29">
        <v>0</v>
      </c>
      <c r="D33" s="29">
        <v>0</v>
      </c>
      <c r="E33" s="29">
        <v>0</v>
      </c>
      <c r="F33" s="1" t="s">
        <v>143</v>
      </c>
      <c r="G33" s="30">
        <v>40.44</v>
      </c>
      <c r="H33" s="30">
        <v>20</v>
      </c>
      <c r="I33" s="30">
        <v>10</v>
      </c>
      <c r="J33" s="32"/>
    </row>
    <row r="34" spans="1:10" ht="22.5" customHeight="1" x14ac:dyDescent="0.35">
      <c r="A34" s="28">
        <v>0</v>
      </c>
      <c r="B34" s="29">
        <v>60000</v>
      </c>
      <c r="C34" s="29">
        <v>0</v>
      </c>
      <c r="D34" s="29">
        <v>0</v>
      </c>
      <c r="E34" s="29">
        <v>60000</v>
      </c>
      <c r="F34" s="1" t="s">
        <v>144</v>
      </c>
      <c r="G34" s="30">
        <v>10.14</v>
      </c>
      <c r="H34" s="30">
        <v>30</v>
      </c>
      <c r="I34" s="30">
        <v>10</v>
      </c>
      <c r="J34" s="32"/>
    </row>
    <row r="35" spans="1:10" ht="22.5" customHeight="1" x14ac:dyDescent="0.35">
      <c r="A35" s="28">
        <v>44225.88</v>
      </c>
      <c r="B35" s="29">
        <v>55774.12</v>
      </c>
      <c r="C35" s="29">
        <v>0</v>
      </c>
      <c r="D35" s="29">
        <v>44225.88</v>
      </c>
      <c r="E35" s="29">
        <v>100000</v>
      </c>
      <c r="F35" s="1" t="s">
        <v>145</v>
      </c>
      <c r="G35" s="30">
        <v>20.21</v>
      </c>
      <c r="H35" s="30">
        <v>30</v>
      </c>
      <c r="I35" s="30">
        <v>10</v>
      </c>
      <c r="J35" s="32"/>
    </row>
    <row r="36" spans="1:10" ht="22.5" customHeight="1" x14ac:dyDescent="0.35">
      <c r="A36" s="28">
        <v>0</v>
      </c>
      <c r="B36" s="29">
        <v>10000</v>
      </c>
      <c r="C36" s="29">
        <v>0</v>
      </c>
      <c r="D36" s="29">
        <v>0</v>
      </c>
      <c r="E36" s="29">
        <v>10000</v>
      </c>
      <c r="F36" s="1" t="s">
        <v>146</v>
      </c>
      <c r="G36" s="30">
        <v>20.23</v>
      </c>
      <c r="H36" s="30">
        <v>30</v>
      </c>
      <c r="I36" s="30">
        <v>10</v>
      </c>
      <c r="J36" s="32"/>
    </row>
    <row r="37" spans="1:10" ht="22.5" customHeight="1" x14ac:dyDescent="0.35">
      <c r="A37" s="28">
        <v>0</v>
      </c>
      <c r="B37" s="29">
        <v>8000</v>
      </c>
      <c r="C37" s="29">
        <v>0</v>
      </c>
      <c r="D37" s="29">
        <v>0</v>
      </c>
      <c r="E37" s="29">
        <v>8000</v>
      </c>
      <c r="F37" s="1" t="s">
        <v>147</v>
      </c>
      <c r="G37" s="30">
        <v>20.239999999999998</v>
      </c>
      <c r="H37" s="30">
        <v>30</v>
      </c>
      <c r="I37" s="30">
        <v>10</v>
      </c>
      <c r="J37" s="32"/>
    </row>
    <row r="38" spans="1:10" ht="22.5" customHeight="1" x14ac:dyDescent="0.35">
      <c r="A38" s="28">
        <v>19998</v>
      </c>
      <c r="B38" s="29">
        <v>13801.2</v>
      </c>
      <c r="C38" s="29">
        <v>26200.799999999999</v>
      </c>
      <c r="D38" s="29">
        <v>46198.8</v>
      </c>
      <c r="E38" s="29">
        <v>60000</v>
      </c>
      <c r="F38" s="1" t="s">
        <v>148</v>
      </c>
      <c r="G38" s="30">
        <v>30.31</v>
      </c>
      <c r="H38" s="30">
        <v>30</v>
      </c>
      <c r="I38" s="30">
        <v>10</v>
      </c>
      <c r="J38" s="32"/>
    </row>
    <row r="39" spans="1:10" ht="22.5" customHeight="1" x14ac:dyDescent="0.35">
      <c r="A39" s="28">
        <v>0</v>
      </c>
      <c r="B39" s="29">
        <v>15752</v>
      </c>
      <c r="C39" s="29">
        <v>4248</v>
      </c>
      <c r="D39" s="29">
        <v>4248</v>
      </c>
      <c r="E39" s="29">
        <v>20000</v>
      </c>
      <c r="F39" s="1" t="s">
        <v>149</v>
      </c>
      <c r="G39" s="30">
        <v>30.32</v>
      </c>
      <c r="H39" s="30">
        <v>30</v>
      </c>
      <c r="I39" s="30">
        <v>10</v>
      </c>
      <c r="J39" s="32"/>
    </row>
    <row r="40" spans="1:10" ht="22.5" customHeight="1" x14ac:dyDescent="0.35">
      <c r="A40" s="28">
        <v>49828.35</v>
      </c>
      <c r="B40" s="29">
        <v>8691.65</v>
      </c>
      <c r="C40" s="29">
        <v>151480</v>
      </c>
      <c r="D40" s="29">
        <v>201308.35</v>
      </c>
      <c r="E40" s="29">
        <v>210000</v>
      </c>
      <c r="F40" s="1" t="s">
        <v>150</v>
      </c>
      <c r="G40" s="30">
        <v>40.409999999999997</v>
      </c>
      <c r="H40" s="30">
        <v>30</v>
      </c>
      <c r="I40" s="30">
        <v>10</v>
      </c>
      <c r="J40" s="32"/>
    </row>
    <row r="41" spans="1:10" ht="22.5" customHeight="1" x14ac:dyDescent="0.35">
      <c r="A41" s="28">
        <v>0</v>
      </c>
      <c r="B41" s="29">
        <v>0</v>
      </c>
      <c r="C41" s="29">
        <v>50000</v>
      </c>
      <c r="D41" s="29">
        <v>50000</v>
      </c>
      <c r="E41" s="29">
        <v>50000</v>
      </c>
      <c r="F41" s="1" t="s">
        <v>151</v>
      </c>
      <c r="G41" s="30">
        <v>40.42</v>
      </c>
      <c r="H41" s="30">
        <v>30</v>
      </c>
      <c r="I41" s="30">
        <v>10</v>
      </c>
      <c r="J41" s="32"/>
    </row>
    <row r="42" spans="1:10" ht="22.5" customHeight="1" x14ac:dyDescent="0.35">
      <c r="A42" s="28">
        <v>0</v>
      </c>
      <c r="B42" s="29">
        <v>20000</v>
      </c>
      <c r="C42" s="29">
        <v>20000</v>
      </c>
      <c r="D42" s="29">
        <v>20000</v>
      </c>
      <c r="E42" s="29">
        <v>40000</v>
      </c>
      <c r="F42" s="1" t="s">
        <v>152</v>
      </c>
      <c r="G42" s="30">
        <v>40.43</v>
      </c>
      <c r="H42" s="30">
        <v>30</v>
      </c>
      <c r="I42" s="30">
        <v>10</v>
      </c>
      <c r="J42" s="32"/>
    </row>
    <row r="43" spans="1:10" ht="22.5" customHeight="1" x14ac:dyDescent="0.35">
      <c r="A43" s="28">
        <v>0</v>
      </c>
      <c r="B43" s="29">
        <v>4704.82</v>
      </c>
      <c r="C43" s="29">
        <v>115295.18</v>
      </c>
      <c r="D43" s="29">
        <v>115295.18</v>
      </c>
      <c r="E43" s="29">
        <v>120000</v>
      </c>
      <c r="F43" s="1" t="s">
        <v>153</v>
      </c>
      <c r="G43" s="30">
        <v>40.44</v>
      </c>
      <c r="H43" s="30">
        <v>30</v>
      </c>
      <c r="I43" s="30">
        <v>10</v>
      </c>
      <c r="J43" s="32"/>
    </row>
    <row r="44" spans="1:10" ht="22.5" customHeight="1" x14ac:dyDescent="0.35">
      <c r="A44" s="28">
        <v>0</v>
      </c>
      <c r="B44" s="29">
        <v>10000</v>
      </c>
      <c r="C44" s="29">
        <v>0</v>
      </c>
      <c r="D44" s="29">
        <v>0</v>
      </c>
      <c r="E44" s="29">
        <v>10000</v>
      </c>
      <c r="F44" s="1" t="s">
        <v>154</v>
      </c>
      <c r="G44" s="30">
        <v>40.450000000000003</v>
      </c>
      <c r="H44" s="30">
        <v>30</v>
      </c>
      <c r="I44" s="30">
        <v>10</v>
      </c>
      <c r="J44" s="32"/>
    </row>
    <row r="45" spans="1:10" ht="22.5" customHeight="1" x14ac:dyDescent="0.35">
      <c r="A45" s="28">
        <v>0</v>
      </c>
      <c r="B45" s="29">
        <v>5000</v>
      </c>
      <c r="C45" s="29">
        <v>0</v>
      </c>
      <c r="D45" s="29">
        <v>0</v>
      </c>
      <c r="E45" s="29">
        <v>5000</v>
      </c>
      <c r="F45" s="1" t="s">
        <v>155</v>
      </c>
      <c r="G45" s="30">
        <v>50.56</v>
      </c>
      <c r="H45" s="30">
        <v>30</v>
      </c>
      <c r="I45" s="30">
        <v>10</v>
      </c>
      <c r="J45" s="32"/>
    </row>
    <row r="46" spans="1:10" ht="22.5" customHeight="1" x14ac:dyDescent="0.35">
      <c r="A46" s="28">
        <v>0</v>
      </c>
      <c r="B46" s="29">
        <v>0</v>
      </c>
      <c r="C46" s="29">
        <v>0</v>
      </c>
      <c r="D46" s="29">
        <v>0</v>
      </c>
      <c r="E46" s="29">
        <v>0</v>
      </c>
      <c r="F46" s="1" t="s">
        <v>156</v>
      </c>
      <c r="G46" s="30">
        <v>50.58</v>
      </c>
      <c r="H46" s="30">
        <v>30</v>
      </c>
      <c r="I46" s="30">
        <v>10</v>
      </c>
      <c r="J46" s="32"/>
    </row>
    <row r="47" spans="1:10" ht="22.5" customHeight="1" x14ac:dyDescent="0.35">
      <c r="A47" s="28">
        <v>0</v>
      </c>
      <c r="B47" s="29">
        <v>24114</v>
      </c>
      <c r="C47" s="29">
        <v>5886</v>
      </c>
      <c r="D47" s="29">
        <v>5886</v>
      </c>
      <c r="E47" s="29">
        <v>30000</v>
      </c>
      <c r="F47" s="1" t="s">
        <v>157</v>
      </c>
      <c r="G47" s="30">
        <v>60.62</v>
      </c>
      <c r="H47" s="30">
        <v>30</v>
      </c>
      <c r="I47" s="30">
        <v>10</v>
      </c>
      <c r="J47" s="32"/>
    </row>
    <row r="48" spans="1:10" ht="22.5" customHeight="1" x14ac:dyDescent="0.35">
      <c r="A48" s="28">
        <v>0</v>
      </c>
      <c r="B48" s="29">
        <v>400</v>
      </c>
      <c r="C48" s="29">
        <v>0</v>
      </c>
      <c r="D48" s="29">
        <v>0</v>
      </c>
      <c r="E48" s="29">
        <v>400</v>
      </c>
      <c r="F48" s="1" t="s">
        <v>158</v>
      </c>
      <c r="G48" s="30">
        <v>70.73</v>
      </c>
      <c r="H48" s="30">
        <v>30</v>
      </c>
      <c r="I48" s="30">
        <v>10</v>
      </c>
      <c r="J48" s="32"/>
    </row>
    <row r="49" spans="1:10" ht="22.5" customHeight="1" x14ac:dyDescent="0.35">
      <c r="A49" s="28">
        <v>0</v>
      </c>
      <c r="B49" s="29">
        <v>400</v>
      </c>
      <c r="C49" s="29">
        <v>40000</v>
      </c>
      <c r="D49" s="29">
        <v>40000</v>
      </c>
      <c r="E49" s="29">
        <v>40400</v>
      </c>
      <c r="F49" s="1" t="s">
        <v>159</v>
      </c>
      <c r="G49" s="30">
        <v>80.819999999999993</v>
      </c>
      <c r="H49" s="30">
        <v>30</v>
      </c>
      <c r="I49" s="30">
        <v>10</v>
      </c>
      <c r="J49" s="32"/>
    </row>
    <row r="50" spans="1:10" ht="22.5" customHeight="1" x14ac:dyDescent="0.35">
      <c r="A50" s="28">
        <v>0</v>
      </c>
      <c r="B50" s="29">
        <v>120</v>
      </c>
      <c r="C50" s="29">
        <v>12000</v>
      </c>
      <c r="D50" s="29">
        <v>12000</v>
      </c>
      <c r="E50" s="29">
        <v>12120</v>
      </c>
      <c r="F50" s="1" t="s">
        <v>160</v>
      </c>
      <c r="G50" s="30">
        <v>80.83</v>
      </c>
      <c r="H50" s="30">
        <v>30</v>
      </c>
      <c r="I50" s="30">
        <v>10</v>
      </c>
      <c r="J50" s="32"/>
    </row>
    <row r="51" spans="1:10" ht="22.5" customHeight="1" x14ac:dyDescent="0.35">
      <c r="A51" s="28"/>
      <c r="B51" s="29">
        <v>10000</v>
      </c>
      <c r="C51" s="29">
        <v>0</v>
      </c>
      <c r="D51" s="29">
        <v>0</v>
      </c>
      <c r="E51" s="29">
        <v>10000</v>
      </c>
      <c r="F51" s="1" t="s">
        <v>161</v>
      </c>
      <c r="G51" s="30">
        <v>90.9</v>
      </c>
      <c r="H51" s="30">
        <v>30</v>
      </c>
      <c r="I51" s="30">
        <v>10</v>
      </c>
      <c r="J51" s="32"/>
    </row>
    <row r="52" spans="1:10" ht="22.5" customHeight="1" x14ac:dyDescent="0.35">
      <c r="A52" s="28">
        <v>0</v>
      </c>
      <c r="B52" s="29">
        <v>0</v>
      </c>
      <c r="C52" s="29">
        <v>300000</v>
      </c>
      <c r="D52" s="29">
        <v>300000</v>
      </c>
      <c r="E52" s="29">
        <v>300000</v>
      </c>
      <c r="F52" s="1" t="s">
        <v>162</v>
      </c>
      <c r="G52" s="30">
        <v>90.91</v>
      </c>
      <c r="H52" s="30">
        <v>30</v>
      </c>
      <c r="I52" s="30">
        <v>10</v>
      </c>
      <c r="J52" s="32"/>
    </row>
    <row r="53" spans="1:10" ht="22.5" customHeight="1" x14ac:dyDescent="0.35">
      <c r="A53" s="28">
        <v>0</v>
      </c>
      <c r="B53" s="29">
        <v>0</v>
      </c>
      <c r="C53" s="29">
        <v>60000</v>
      </c>
      <c r="D53" s="29">
        <v>60000</v>
      </c>
      <c r="E53" s="29">
        <v>60000</v>
      </c>
      <c r="F53" s="1" t="s">
        <v>163</v>
      </c>
      <c r="G53" s="30">
        <v>90.94</v>
      </c>
      <c r="H53" s="30">
        <v>30</v>
      </c>
      <c r="I53" s="30">
        <v>10</v>
      </c>
      <c r="J53" s="32"/>
    </row>
    <row r="54" spans="1:10" ht="22.5" customHeight="1" x14ac:dyDescent="0.35">
      <c r="A54" s="28">
        <v>0</v>
      </c>
      <c r="B54" s="29">
        <v>8000</v>
      </c>
      <c r="C54" s="29">
        <v>0</v>
      </c>
      <c r="D54" s="29">
        <v>0</v>
      </c>
      <c r="E54" s="29">
        <v>8000</v>
      </c>
      <c r="F54" s="1" t="s">
        <v>164</v>
      </c>
      <c r="G54" s="30">
        <v>90.95</v>
      </c>
      <c r="H54" s="30">
        <v>30</v>
      </c>
      <c r="I54" s="30">
        <v>10</v>
      </c>
      <c r="J54" s="32"/>
    </row>
    <row r="55" spans="1:10" ht="22.5" customHeight="1" x14ac:dyDescent="0.35">
      <c r="A55" s="28">
        <v>0</v>
      </c>
      <c r="B55" s="29">
        <v>5.1899999999995998</v>
      </c>
      <c r="C55" s="29">
        <v>6994.81</v>
      </c>
      <c r="D55" s="29">
        <v>6994.81</v>
      </c>
      <c r="E55" s="29">
        <v>7000</v>
      </c>
      <c r="F55" s="1" t="s">
        <v>165</v>
      </c>
      <c r="G55" s="30">
        <v>90.96</v>
      </c>
      <c r="H55" s="30">
        <v>30</v>
      </c>
      <c r="I55" s="30">
        <v>10</v>
      </c>
      <c r="J55" s="32"/>
    </row>
    <row r="56" spans="1:10" ht="22.5" customHeight="1" x14ac:dyDescent="0.35">
      <c r="A56" s="29">
        <v>30288</v>
      </c>
      <c r="B56" s="29">
        <v>39712</v>
      </c>
      <c r="C56" s="29">
        <v>0</v>
      </c>
      <c r="D56" s="29">
        <v>30288</v>
      </c>
      <c r="E56" s="29">
        <v>70000</v>
      </c>
      <c r="F56" s="1" t="s">
        <v>166</v>
      </c>
      <c r="G56" s="30">
        <v>90.97</v>
      </c>
      <c r="H56" s="30">
        <v>30</v>
      </c>
      <c r="I56" s="30">
        <v>10</v>
      </c>
      <c r="J56" s="32"/>
    </row>
    <row r="57" spans="1:10" ht="22.5" customHeight="1" x14ac:dyDescent="0.35">
      <c r="A57" s="28">
        <v>0</v>
      </c>
      <c r="B57" s="29">
        <v>0</v>
      </c>
      <c r="C57" s="29">
        <v>354401.79</v>
      </c>
      <c r="D57" s="29">
        <v>354401.79</v>
      </c>
      <c r="E57" s="29">
        <v>354401.79</v>
      </c>
      <c r="F57" s="1" t="s">
        <v>167</v>
      </c>
      <c r="G57" s="30">
        <v>10.11</v>
      </c>
      <c r="H57" s="30">
        <v>40</v>
      </c>
      <c r="I57" s="30">
        <v>10</v>
      </c>
      <c r="J57" s="32"/>
    </row>
    <row r="58" spans="1:10" ht="22.5" customHeight="1" x14ac:dyDescent="0.35">
      <c r="A58" s="29">
        <v>0</v>
      </c>
      <c r="B58" s="29">
        <v>934.35</v>
      </c>
      <c r="C58" s="29">
        <v>5969.47</v>
      </c>
      <c r="D58" s="29">
        <v>5969.47</v>
      </c>
      <c r="E58" s="29">
        <v>6903.82</v>
      </c>
      <c r="F58" s="1" t="s">
        <v>168</v>
      </c>
      <c r="G58" s="30">
        <v>20.21</v>
      </c>
      <c r="H58" s="30">
        <v>40</v>
      </c>
      <c r="I58" s="30">
        <v>10</v>
      </c>
      <c r="J58" s="32"/>
    </row>
    <row r="59" spans="1:10" ht="22.5" customHeight="1" x14ac:dyDescent="0.35">
      <c r="A59" s="28">
        <v>0</v>
      </c>
      <c r="B59" s="29">
        <v>500</v>
      </c>
      <c r="C59" s="29">
        <v>49500</v>
      </c>
      <c r="D59" s="29">
        <v>49500</v>
      </c>
      <c r="E59" s="29">
        <v>50000</v>
      </c>
      <c r="F59" s="1" t="s">
        <v>169</v>
      </c>
      <c r="G59" s="30">
        <v>10.11</v>
      </c>
      <c r="H59" s="30">
        <v>10</v>
      </c>
      <c r="I59" s="30">
        <v>20</v>
      </c>
      <c r="J59" s="32"/>
    </row>
    <row r="60" spans="1:10" ht="22.5" customHeight="1" x14ac:dyDescent="0.35">
      <c r="A60" s="28">
        <v>0</v>
      </c>
      <c r="B60" s="29">
        <v>2000</v>
      </c>
      <c r="C60" s="29">
        <v>368000</v>
      </c>
      <c r="D60" s="29">
        <v>368000</v>
      </c>
      <c r="E60" s="29">
        <v>370000</v>
      </c>
      <c r="F60" s="1" t="s">
        <v>170</v>
      </c>
      <c r="G60" s="30">
        <v>10.130000000000001</v>
      </c>
      <c r="H60" s="30">
        <v>10</v>
      </c>
      <c r="I60" s="30">
        <v>20</v>
      </c>
      <c r="J60" s="32"/>
    </row>
    <row r="61" spans="1:10" ht="22.5" customHeight="1" x14ac:dyDescent="0.35">
      <c r="A61" s="28">
        <v>0</v>
      </c>
      <c r="B61" s="29">
        <v>0</v>
      </c>
      <c r="C61" s="29">
        <v>100000</v>
      </c>
      <c r="D61" s="29">
        <v>100000</v>
      </c>
      <c r="E61" s="29">
        <v>100000</v>
      </c>
      <c r="F61" s="1" t="s">
        <v>171</v>
      </c>
      <c r="G61" s="30">
        <v>10.14</v>
      </c>
      <c r="H61" s="30">
        <v>10</v>
      </c>
      <c r="I61" s="30">
        <v>20</v>
      </c>
      <c r="J61" s="32"/>
    </row>
    <row r="62" spans="1:10" ht="22.5" customHeight="1" x14ac:dyDescent="0.35">
      <c r="A62" s="68"/>
      <c r="B62" s="29">
        <v>3000</v>
      </c>
      <c r="C62" s="29">
        <v>0</v>
      </c>
      <c r="D62" s="29">
        <v>0</v>
      </c>
      <c r="E62" s="29">
        <v>3000</v>
      </c>
      <c r="F62" s="1" t="s">
        <v>172</v>
      </c>
      <c r="G62" s="30">
        <v>10.15</v>
      </c>
      <c r="H62" s="30">
        <v>10</v>
      </c>
      <c r="I62" s="30">
        <v>20</v>
      </c>
      <c r="J62" s="32"/>
    </row>
    <row r="63" spans="1:10" ht="22.5" customHeight="1" x14ac:dyDescent="0.35">
      <c r="A63" s="29">
        <v>0</v>
      </c>
      <c r="B63" s="29">
        <v>2192.56</v>
      </c>
      <c r="C63" s="29">
        <v>157807.44</v>
      </c>
      <c r="D63" s="29">
        <v>157807.44</v>
      </c>
      <c r="E63" s="29">
        <v>160000</v>
      </c>
      <c r="F63" s="1" t="s">
        <v>173</v>
      </c>
      <c r="G63" s="30">
        <v>20.25</v>
      </c>
      <c r="H63" s="30">
        <v>10</v>
      </c>
      <c r="I63" s="30">
        <v>20</v>
      </c>
      <c r="J63" s="32"/>
    </row>
    <row r="64" spans="1:10" ht="22.5" customHeight="1" x14ac:dyDescent="0.35">
      <c r="A64" s="28">
        <v>0</v>
      </c>
      <c r="B64" s="29">
        <v>10000</v>
      </c>
      <c r="C64" s="29">
        <v>0</v>
      </c>
      <c r="D64" s="29">
        <v>0</v>
      </c>
      <c r="E64" s="29">
        <v>10000</v>
      </c>
      <c r="F64" s="1" t="s">
        <v>174</v>
      </c>
      <c r="G64" s="30">
        <v>10.11</v>
      </c>
      <c r="H64" s="30">
        <v>20</v>
      </c>
      <c r="I64" s="30">
        <v>20</v>
      </c>
      <c r="J64" s="32"/>
    </row>
    <row r="65" spans="1:10" ht="22.5" customHeight="1" x14ac:dyDescent="0.35">
      <c r="A65" s="28">
        <v>0</v>
      </c>
      <c r="B65" s="29">
        <v>12000</v>
      </c>
      <c r="C65" s="29">
        <v>0</v>
      </c>
      <c r="D65" s="29">
        <v>0</v>
      </c>
      <c r="E65" s="29">
        <v>12000</v>
      </c>
      <c r="F65" s="1" t="s">
        <v>175</v>
      </c>
      <c r="G65" s="30">
        <v>10.11</v>
      </c>
      <c r="H65" s="30">
        <v>30</v>
      </c>
      <c r="I65" s="30">
        <v>20</v>
      </c>
      <c r="J65" s="32"/>
    </row>
    <row r="66" spans="1:10" ht="22.5" customHeight="1" x14ac:dyDescent="0.35">
      <c r="A66" s="28">
        <v>0</v>
      </c>
      <c r="B66" s="29">
        <v>0</v>
      </c>
      <c r="C66" s="29">
        <v>0</v>
      </c>
      <c r="D66" s="29">
        <v>0</v>
      </c>
      <c r="E66" s="29">
        <v>0</v>
      </c>
      <c r="F66" s="1" t="s">
        <v>176</v>
      </c>
      <c r="G66" s="30">
        <v>10.130000000000001</v>
      </c>
      <c r="H66" s="30">
        <v>60</v>
      </c>
      <c r="I66" s="30">
        <v>20</v>
      </c>
      <c r="J66" s="32"/>
    </row>
    <row r="67" spans="1:10" ht="22.5" customHeight="1" x14ac:dyDescent="0.35">
      <c r="A67" s="28">
        <v>0</v>
      </c>
      <c r="B67" s="29">
        <v>10000</v>
      </c>
      <c r="C67" s="29">
        <v>0</v>
      </c>
      <c r="D67" s="29">
        <v>0</v>
      </c>
      <c r="E67" s="29">
        <v>10000</v>
      </c>
      <c r="F67" s="1" t="s">
        <v>177</v>
      </c>
      <c r="G67" s="30">
        <v>10.130000000000001</v>
      </c>
      <c r="H67" s="30">
        <v>70</v>
      </c>
      <c r="I67" s="30">
        <v>20</v>
      </c>
      <c r="J67" s="32"/>
    </row>
    <row r="68" spans="1:10" ht="22.5" customHeight="1" x14ac:dyDescent="0.35">
      <c r="A68" s="28">
        <v>0</v>
      </c>
      <c r="B68" s="29">
        <v>0</v>
      </c>
      <c r="C68" s="29">
        <v>0</v>
      </c>
      <c r="D68" s="29">
        <v>0</v>
      </c>
      <c r="E68" s="29">
        <v>0</v>
      </c>
      <c r="F68" s="1" t="s">
        <v>178</v>
      </c>
      <c r="G68" s="30">
        <v>10.14</v>
      </c>
      <c r="H68" s="30">
        <v>70</v>
      </c>
      <c r="I68" s="30">
        <v>20</v>
      </c>
      <c r="J68" s="32"/>
    </row>
    <row r="69" spans="1:10" ht="22.5" customHeight="1" x14ac:dyDescent="0.35">
      <c r="A69" s="28">
        <v>0</v>
      </c>
      <c r="B69" s="29">
        <v>0</v>
      </c>
      <c r="C69" s="29">
        <v>0</v>
      </c>
      <c r="D69" s="29">
        <v>0</v>
      </c>
      <c r="E69" s="29">
        <v>0</v>
      </c>
      <c r="F69" s="1" t="s">
        <v>179</v>
      </c>
      <c r="G69" s="30">
        <v>10.14</v>
      </c>
      <c r="H69" s="30">
        <v>80</v>
      </c>
      <c r="I69" s="30">
        <v>20</v>
      </c>
      <c r="J69" s="32"/>
    </row>
    <row r="70" spans="1:10" ht="22.5" customHeight="1" x14ac:dyDescent="0.35">
      <c r="A70" s="28">
        <v>0</v>
      </c>
      <c r="B70" s="29">
        <v>43320</v>
      </c>
      <c r="C70" s="29">
        <v>106680</v>
      </c>
      <c r="D70" s="29">
        <v>106680</v>
      </c>
      <c r="E70" s="29">
        <v>150000</v>
      </c>
      <c r="F70" s="23" t="s">
        <v>180</v>
      </c>
      <c r="G70" s="33">
        <v>20.3</v>
      </c>
      <c r="H70" s="30">
        <v>10</v>
      </c>
      <c r="I70" s="30">
        <v>30</v>
      </c>
      <c r="J70" s="32"/>
    </row>
    <row r="71" spans="1:10" ht="22.5" customHeight="1" x14ac:dyDescent="0.35">
      <c r="A71" s="28">
        <v>0</v>
      </c>
      <c r="B71" s="29">
        <v>0</v>
      </c>
      <c r="C71" s="29">
        <v>0</v>
      </c>
      <c r="D71" s="29">
        <v>0</v>
      </c>
      <c r="E71" s="29">
        <v>0</v>
      </c>
      <c r="F71" s="23" t="s">
        <v>181</v>
      </c>
      <c r="G71" s="30">
        <v>10.11</v>
      </c>
      <c r="H71" s="30">
        <v>20</v>
      </c>
      <c r="I71" s="30">
        <v>30</v>
      </c>
      <c r="J71" s="32"/>
    </row>
    <row r="72" spans="1:10" ht="22.5" customHeight="1" x14ac:dyDescent="0.35">
      <c r="A72" s="28">
        <v>0</v>
      </c>
      <c r="B72" s="29">
        <v>1524</v>
      </c>
      <c r="C72" s="29">
        <v>148476</v>
      </c>
      <c r="D72" s="29">
        <v>148476</v>
      </c>
      <c r="E72" s="29">
        <v>150000</v>
      </c>
      <c r="F72" s="1" t="s">
        <v>182</v>
      </c>
      <c r="G72" s="30">
        <v>10.14</v>
      </c>
      <c r="H72" s="30">
        <v>20</v>
      </c>
      <c r="I72" s="30">
        <v>30</v>
      </c>
      <c r="J72" s="32"/>
    </row>
    <row r="73" spans="1:10" ht="22.5" customHeight="1" x14ac:dyDescent="0.35">
      <c r="A73" s="28">
        <v>0</v>
      </c>
      <c r="B73" s="29">
        <v>0</v>
      </c>
      <c r="C73" s="29">
        <v>500000</v>
      </c>
      <c r="D73" s="29">
        <v>500000</v>
      </c>
      <c r="E73" s="29">
        <v>500000</v>
      </c>
      <c r="F73" s="1" t="s">
        <v>183</v>
      </c>
      <c r="G73" s="30">
        <v>20.21</v>
      </c>
      <c r="H73" s="30">
        <v>20</v>
      </c>
      <c r="I73" s="30">
        <v>30</v>
      </c>
      <c r="J73" s="32"/>
    </row>
    <row r="74" spans="1:10" ht="22.5" customHeight="1" x14ac:dyDescent="0.35">
      <c r="A74" s="28">
        <v>0</v>
      </c>
      <c r="B74" s="29">
        <v>69796</v>
      </c>
      <c r="C74" s="29">
        <v>30204</v>
      </c>
      <c r="D74" s="29">
        <v>30204</v>
      </c>
      <c r="E74" s="29">
        <v>100000</v>
      </c>
      <c r="F74" s="1" t="s">
        <v>182</v>
      </c>
      <c r="G74" s="30">
        <v>10.119999999999999</v>
      </c>
      <c r="H74" s="30">
        <v>30</v>
      </c>
      <c r="I74" s="30">
        <v>30</v>
      </c>
      <c r="J74" s="32"/>
    </row>
    <row r="75" spans="1:10" ht="22.5" customHeight="1" x14ac:dyDescent="0.35">
      <c r="A75" s="28">
        <v>0</v>
      </c>
      <c r="B75" s="29">
        <v>55000</v>
      </c>
      <c r="C75" s="29">
        <v>0</v>
      </c>
      <c r="D75" s="29">
        <v>0</v>
      </c>
      <c r="E75" s="29">
        <v>55000</v>
      </c>
      <c r="F75" s="1" t="s">
        <v>184</v>
      </c>
      <c r="G75" s="30">
        <v>20.21</v>
      </c>
      <c r="H75" s="30">
        <v>10</v>
      </c>
      <c r="I75" s="30">
        <v>50</v>
      </c>
      <c r="J75" s="32"/>
    </row>
    <row r="76" spans="1:10" ht="22.5" customHeight="1" x14ac:dyDescent="0.35">
      <c r="A76" s="28">
        <v>0</v>
      </c>
      <c r="B76" s="29">
        <v>5000</v>
      </c>
      <c r="C76" s="29">
        <v>0</v>
      </c>
      <c r="D76" s="29">
        <v>0</v>
      </c>
      <c r="E76" s="29">
        <v>5000</v>
      </c>
      <c r="F76" s="1" t="s">
        <v>185</v>
      </c>
      <c r="G76" s="30">
        <v>20.22</v>
      </c>
      <c r="H76" s="30">
        <v>10</v>
      </c>
      <c r="I76" s="30">
        <v>50</v>
      </c>
      <c r="J76" s="32"/>
    </row>
    <row r="77" spans="1:10" ht="22.5" customHeight="1" x14ac:dyDescent="0.35">
      <c r="A77" s="29">
        <v>0</v>
      </c>
      <c r="B77" s="29">
        <v>5000</v>
      </c>
      <c r="C77" s="29">
        <v>0</v>
      </c>
      <c r="D77" s="29">
        <v>0</v>
      </c>
      <c r="E77" s="29">
        <v>5000</v>
      </c>
      <c r="F77" s="1" t="s">
        <v>186</v>
      </c>
      <c r="G77" s="30">
        <v>30.31</v>
      </c>
      <c r="H77" s="30">
        <v>10</v>
      </c>
      <c r="I77" s="30">
        <v>50</v>
      </c>
      <c r="J77" s="32"/>
    </row>
    <row r="78" spans="1:10" ht="22.5" customHeight="1" x14ac:dyDescent="0.35">
      <c r="A78" s="28">
        <v>0</v>
      </c>
      <c r="B78" s="29">
        <v>0</v>
      </c>
      <c r="C78" s="29">
        <v>75000</v>
      </c>
      <c r="D78" s="29">
        <v>75000</v>
      </c>
      <c r="E78" s="29">
        <v>75000</v>
      </c>
      <c r="F78" s="1" t="s">
        <v>187</v>
      </c>
      <c r="G78" s="30">
        <v>50.51</v>
      </c>
      <c r="H78" s="30">
        <v>40</v>
      </c>
      <c r="I78" s="30">
        <v>50</v>
      </c>
      <c r="J78" s="32"/>
    </row>
    <row r="79" spans="1:10" ht="22.5" customHeight="1" x14ac:dyDescent="0.35">
      <c r="A79" s="28">
        <v>0</v>
      </c>
      <c r="B79" s="29">
        <v>0</v>
      </c>
      <c r="C79" s="29">
        <v>80000</v>
      </c>
      <c r="D79" s="29">
        <v>80000</v>
      </c>
      <c r="E79" s="29">
        <v>80000</v>
      </c>
      <c r="F79" s="1" t="s">
        <v>188</v>
      </c>
      <c r="G79" s="30">
        <v>50.52</v>
      </c>
      <c r="H79" s="30">
        <v>40</v>
      </c>
      <c r="I79" s="30">
        <v>50</v>
      </c>
      <c r="J79" s="32"/>
    </row>
    <row r="80" spans="1:10" ht="22.5" customHeight="1" x14ac:dyDescent="0.35">
      <c r="A80" s="29">
        <v>0</v>
      </c>
      <c r="B80" s="29">
        <v>63030</v>
      </c>
      <c r="C80" s="29">
        <v>0</v>
      </c>
      <c r="D80" s="29">
        <v>0</v>
      </c>
      <c r="E80" s="29">
        <v>63030</v>
      </c>
      <c r="F80" s="1" t="s">
        <v>189</v>
      </c>
      <c r="G80" s="30">
        <v>60.68</v>
      </c>
      <c r="H80" s="30">
        <v>40</v>
      </c>
      <c r="I80" s="30">
        <v>50</v>
      </c>
      <c r="J80" s="32"/>
    </row>
    <row r="81" spans="1:11" ht="22.5" customHeight="1" x14ac:dyDescent="0.35">
      <c r="A81" s="29">
        <v>0</v>
      </c>
      <c r="B81" s="29">
        <v>2000</v>
      </c>
      <c r="C81" s="29">
        <v>0</v>
      </c>
      <c r="D81" s="29">
        <v>0</v>
      </c>
      <c r="E81" s="29">
        <v>2000</v>
      </c>
      <c r="F81" s="1" t="s">
        <v>190</v>
      </c>
      <c r="G81" s="30">
        <v>60.69</v>
      </c>
      <c r="H81" s="30">
        <v>40</v>
      </c>
      <c r="I81" s="30">
        <v>50</v>
      </c>
      <c r="J81" s="32"/>
    </row>
    <row r="82" spans="1:11" ht="22.5" customHeight="1" x14ac:dyDescent="0.35">
      <c r="A82" s="28">
        <v>0</v>
      </c>
      <c r="B82" s="29">
        <v>0</v>
      </c>
      <c r="C82" s="29">
        <v>3390669.06</v>
      </c>
      <c r="D82" s="29">
        <v>3390669.06</v>
      </c>
      <c r="E82" s="29">
        <v>3390669.06</v>
      </c>
      <c r="F82" s="1" t="s">
        <v>191</v>
      </c>
      <c r="G82" s="33">
        <v>10.1</v>
      </c>
      <c r="H82" s="30">
        <v>10</v>
      </c>
      <c r="I82" s="30">
        <v>60</v>
      </c>
      <c r="J82" s="32"/>
    </row>
    <row r="83" spans="1:11" ht="33" customHeight="1" x14ac:dyDescent="0.35">
      <c r="A83" s="34">
        <v>156460.23000000001</v>
      </c>
      <c r="B83" s="35">
        <v>1799128.28</v>
      </c>
      <c r="C83" s="35">
        <v>9443536.1600000001</v>
      </c>
      <c r="D83" s="35">
        <v>9601746.3900000006</v>
      </c>
      <c r="E83" s="35">
        <v>11399124.67</v>
      </c>
      <c r="F83" s="105" t="s">
        <v>108</v>
      </c>
      <c r="G83" s="105"/>
      <c r="H83" s="105"/>
      <c r="I83" s="105"/>
      <c r="J83" s="106"/>
    </row>
    <row r="84" spans="1:11" ht="8.25" customHeight="1" x14ac:dyDescent="0.35">
      <c r="A84" s="36"/>
      <c r="B84" s="37">
        <v>1799128.28</v>
      </c>
      <c r="C84" s="37">
        <v>9601746.3900000006</v>
      </c>
      <c r="D84" s="38"/>
      <c r="E84" s="39">
        <v>9384051.7200000007</v>
      </c>
    </row>
    <row r="85" spans="1:11" ht="22.5" customHeight="1" x14ac:dyDescent="0.35">
      <c r="A85" s="20"/>
      <c r="B85" s="20"/>
      <c r="C85" s="19"/>
      <c r="D85" s="20" t="s">
        <v>192</v>
      </c>
      <c r="E85" s="19"/>
      <c r="F85" s="19"/>
      <c r="G85" s="19"/>
      <c r="H85" s="19"/>
      <c r="I85" s="19"/>
      <c r="J85" s="19"/>
      <c r="K85" s="40"/>
    </row>
    <row r="86" spans="1:11" ht="22.5" customHeight="1" x14ac:dyDescent="0.35">
      <c r="A86" s="19"/>
      <c r="B86" s="19"/>
      <c r="C86" s="19"/>
      <c r="D86" s="19" t="s">
        <v>193</v>
      </c>
      <c r="E86" s="19"/>
      <c r="F86" s="19"/>
      <c r="G86" s="19"/>
      <c r="H86" s="19"/>
      <c r="I86" s="19"/>
      <c r="J86" s="19" t="s">
        <v>114</v>
      </c>
      <c r="K86" s="40"/>
    </row>
    <row r="87" spans="1:11" ht="22.5" customHeight="1" x14ac:dyDescent="0.35">
      <c r="B87" s="41"/>
      <c r="C87" s="41"/>
      <c r="D87" s="41"/>
      <c r="E87" s="41"/>
    </row>
    <row r="89" spans="1:11" ht="22.5" customHeight="1" x14ac:dyDescent="0.35">
      <c r="D89" s="67"/>
      <c r="E89" s="67"/>
      <c r="F89" s="27" t="s">
        <v>194</v>
      </c>
    </row>
  </sheetData>
  <mergeCells count="18">
    <mergeCell ref="D9:D11"/>
    <mergeCell ref="C9:C11"/>
    <mergeCell ref="F83:J83"/>
    <mergeCell ref="G1:J1"/>
    <mergeCell ref="G2:J2"/>
    <mergeCell ref="G3:J3"/>
    <mergeCell ref="G4:J4"/>
    <mergeCell ref="G5:J5"/>
    <mergeCell ref="B6:G6"/>
    <mergeCell ref="A7:B7"/>
    <mergeCell ref="G9:G11"/>
    <mergeCell ref="A9:A11"/>
    <mergeCell ref="J9:J11"/>
    <mergeCell ref="B9:B11"/>
    <mergeCell ref="F9:F11"/>
    <mergeCell ref="H9:H11"/>
    <mergeCell ref="I9:I11"/>
    <mergeCell ref="E9:E11"/>
  </mergeCells>
  <pageMargins left="0.11811023622047" right="0.11811023622047" top="0.35" bottom="0.18" header="0" footer="0"/>
  <pageSetup paperSize="9" scale="8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abSelected="1" view="pageBreakPreview" topLeftCell="A25" zoomScale="80" workbookViewId="0">
      <selection activeCell="F2" sqref="F2"/>
    </sheetView>
  </sheetViews>
  <sheetFormatPr baseColWidth="10" defaultColWidth="11.453125" defaultRowHeight="28.5" customHeight="1" x14ac:dyDescent="0.35"/>
  <cols>
    <col min="1" max="1" width="21.54296875" style="40" customWidth="1"/>
    <col min="2" max="2" width="21.26953125" style="40" customWidth="1"/>
    <col min="3" max="3" width="21.81640625" style="40" customWidth="1"/>
    <col min="4" max="4" width="23.1796875" style="40" customWidth="1"/>
    <col min="5" max="5" width="23.54296875" style="40" customWidth="1"/>
    <col min="6" max="6" width="49" style="40" customWidth="1"/>
    <col min="7" max="7" width="9.453125" style="40" customWidth="1"/>
    <col min="8" max="8" width="10" style="40" customWidth="1"/>
    <col min="9" max="9" width="8.453125" style="40" customWidth="1"/>
    <col min="10" max="10" width="5.81640625" style="40" customWidth="1"/>
    <col min="11" max="11" width="9.26953125" style="40" customWidth="1"/>
    <col min="12" max="12" width="16.81640625" style="40" customWidth="1"/>
    <col min="13" max="13" width="20.26953125" style="40" customWidth="1"/>
  </cols>
  <sheetData>
    <row r="1" spans="1:11" ht="24.75" customHeight="1" x14ac:dyDescent="0.35">
      <c r="G1" s="109" t="str">
        <f>+'قائمة مصاريف التسيير'!G1:J1</f>
        <v>المملكة المغربية</v>
      </c>
      <c r="H1" s="109"/>
      <c r="I1" s="109"/>
      <c r="J1" s="109"/>
      <c r="K1" s="109"/>
    </row>
    <row r="2" spans="1:11" ht="24.75" customHeight="1" x14ac:dyDescent="0.35">
      <c r="G2" s="109" t="str">
        <f>+'قائمة مصاريف التسيير'!G2:J2</f>
        <v>وزارة الداخلية</v>
      </c>
      <c r="H2" s="109"/>
      <c r="I2" s="109"/>
      <c r="J2" s="109"/>
      <c r="K2" s="109"/>
    </row>
    <row r="3" spans="1:11" ht="24.75" customHeight="1" x14ac:dyDescent="0.35">
      <c r="G3" s="109" t="str">
        <f>+'قائمة مصاريف التسيير'!G3:J3</f>
        <v>جهة درعة تافيلالت</v>
      </c>
      <c r="H3" s="109"/>
      <c r="I3" s="109"/>
      <c r="J3" s="109"/>
      <c r="K3" s="109"/>
    </row>
    <row r="4" spans="1:11" ht="24.75" customHeight="1" x14ac:dyDescent="0.35">
      <c r="C4" s="127" t="s">
        <v>195</v>
      </c>
      <c r="D4" s="127"/>
      <c r="E4" s="127"/>
      <c r="G4" s="109" t="str">
        <f>+'قائمة مصاريف التسيير'!G4:J4</f>
        <v xml:space="preserve">    إقـليــم تــنــغيــر</v>
      </c>
      <c r="H4" s="109"/>
      <c r="I4" s="109"/>
      <c r="J4" s="109"/>
      <c r="K4" s="109"/>
    </row>
    <row r="5" spans="1:11" ht="32.25" customHeight="1" x14ac:dyDescent="0.35">
      <c r="B5" s="127" t="s">
        <v>6</v>
      </c>
      <c r="C5" s="127"/>
      <c r="G5" s="109" t="str">
        <f>+'قائمة مصاريف التسيير'!G5:J5</f>
        <v xml:space="preserve"> جماعة سوق الخميس دادس</v>
      </c>
      <c r="H5" s="109"/>
      <c r="I5" s="109"/>
      <c r="J5" s="109"/>
      <c r="K5" s="109"/>
    </row>
    <row r="6" spans="1:11" ht="24.75" customHeight="1" x14ac:dyDescent="0.35"/>
    <row r="7" spans="1:11" ht="28.5" customHeight="1" x14ac:dyDescent="0.35">
      <c r="A7" s="125" t="s">
        <v>117</v>
      </c>
      <c r="B7" s="125" t="s">
        <v>116</v>
      </c>
      <c r="C7" s="125" t="s">
        <v>118</v>
      </c>
      <c r="D7" s="125" t="s">
        <v>119</v>
      </c>
      <c r="E7" s="125" t="s">
        <v>196</v>
      </c>
      <c r="F7" s="125" t="s">
        <v>121</v>
      </c>
      <c r="G7" s="125"/>
      <c r="H7" s="125"/>
      <c r="I7" s="125"/>
      <c r="J7" s="125"/>
      <c r="K7" s="125"/>
    </row>
    <row r="8" spans="1:11" ht="28.5" customHeight="1" x14ac:dyDescent="0.35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</row>
    <row r="9" spans="1:11" ht="28.5" customHeight="1" x14ac:dyDescent="0.35">
      <c r="A9" s="59">
        <v>0</v>
      </c>
      <c r="B9" s="59">
        <v>92639</v>
      </c>
      <c r="C9" s="59">
        <v>0</v>
      </c>
      <c r="D9" s="59">
        <v>0</v>
      </c>
      <c r="E9" s="61">
        <v>92639</v>
      </c>
      <c r="F9" s="42" t="s">
        <v>197</v>
      </c>
      <c r="G9" s="51">
        <v>1110</v>
      </c>
      <c r="H9" s="51">
        <v>1010</v>
      </c>
      <c r="I9" s="51">
        <v>10</v>
      </c>
      <c r="J9" s="51">
        <v>4</v>
      </c>
      <c r="K9" s="51">
        <v>2</v>
      </c>
    </row>
    <row r="10" spans="1:11" ht="28.5" customHeight="1" x14ac:dyDescent="0.35">
      <c r="A10" s="60">
        <v>0</v>
      </c>
      <c r="B10" s="60">
        <v>94841</v>
      </c>
      <c r="C10" s="60">
        <v>0</v>
      </c>
      <c r="D10" s="60">
        <v>0</v>
      </c>
      <c r="E10" s="62">
        <v>94841</v>
      </c>
      <c r="F10" s="53" t="s">
        <v>198</v>
      </c>
      <c r="G10" s="51">
        <v>2110</v>
      </c>
      <c r="H10" s="51">
        <v>1010</v>
      </c>
      <c r="I10" s="51">
        <v>10</v>
      </c>
      <c r="J10" s="51">
        <v>4</v>
      </c>
      <c r="K10" s="51">
        <v>2</v>
      </c>
    </row>
    <row r="11" spans="1:11" ht="28.5" customHeight="1" x14ac:dyDescent="0.35">
      <c r="A11" s="60">
        <v>0</v>
      </c>
      <c r="B11" s="62">
        <v>0</v>
      </c>
      <c r="C11" s="62">
        <v>0</v>
      </c>
      <c r="D11" s="62">
        <v>0</v>
      </c>
      <c r="E11" s="62">
        <v>0</v>
      </c>
      <c r="F11" s="43" t="s">
        <v>199</v>
      </c>
      <c r="G11" s="51">
        <v>3310</v>
      </c>
      <c r="H11" s="51">
        <v>1010</v>
      </c>
      <c r="I11" s="51">
        <v>10</v>
      </c>
      <c r="J11" s="51">
        <v>4</v>
      </c>
      <c r="K11" s="51">
        <v>2</v>
      </c>
    </row>
    <row r="12" spans="1:11" ht="28.5" customHeight="1" x14ac:dyDescent="0.35">
      <c r="A12" s="60">
        <v>0</v>
      </c>
      <c r="B12" s="60">
        <v>300598</v>
      </c>
      <c r="C12" s="60">
        <v>0</v>
      </c>
      <c r="D12" s="60">
        <v>0</v>
      </c>
      <c r="E12" s="62">
        <v>300598</v>
      </c>
      <c r="F12" s="43" t="s">
        <v>200</v>
      </c>
      <c r="G12" s="54">
        <v>1120</v>
      </c>
      <c r="H12" s="51">
        <v>1010</v>
      </c>
      <c r="I12" s="51">
        <v>10</v>
      </c>
      <c r="J12" s="51">
        <v>4</v>
      </c>
      <c r="K12" s="51">
        <v>2</v>
      </c>
    </row>
    <row r="13" spans="1:11" ht="28.5" customHeight="1" x14ac:dyDescent="0.35">
      <c r="A13" s="60">
        <v>0</v>
      </c>
      <c r="B13" s="60">
        <v>0</v>
      </c>
      <c r="C13" s="60">
        <v>0</v>
      </c>
      <c r="D13" s="60">
        <v>0</v>
      </c>
      <c r="E13" s="62">
        <v>0</v>
      </c>
      <c r="F13" s="55" t="s">
        <v>201</v>
      </c>
      <c r="G13" s="54">
        <v>1320</v>
      </c>
      <c r="H13" s="51">
        <v>1010</v>
      </c>
      <c r="I13" s="51">
        <v>10</v>
      </c>
      <c r="J13" s="51">
        <v>4</v>
      </c>
      <c r="K13" s="51">
        <v>2</v>
      </c>
    </row>
    <row r="14" spans="1:11" ht="28.5" customHeight="1" x14ac:dyDescent="0.35">
      <c r="A14" s="60">
        <v>0</v>
      </c>
      <c r="B14" s="60">
        <v>0</v>
      </c>
      <c r="C14" s="60">
        <v>0</v>
      </c>
      <c r="D14" s="60">
        <v>0</v>
      </c>
      <c r="E14" s="62">
        <v>0</v>
      </c>
      <c r="F14" s="43" t="s">
        <v>202</v>
      </c>
      <c r="G14" s="54">
        <v>1420</v>
      </c>
      <c r="H14" s="51">
        <v>1010</v>
      </c>
      <c r="I14" s="51">
        <v>10</v>
      </c>
      <c r="J14" s="51">
        <v>4</v>
      </c>
      <c r="K14" s="51">
        <v>2</v>
      </c>
    </row>
    <row r="15" spans="1:11" ht="28.5" customHeight="1" x14ac:dyDescent="0.35">
      <c r="A15" s="60">
        <v>0</v>
      </c>
      <c r="B15" s="60">
        <v>0</v>
      </c>
      <c r="C15" s="60">
        <v>0</v>
      </c>
      <c r="D15" s="60">
        <v>0</v>
      </c>
      <c r="E15" s="62">
        <v>0</v>
      </c>
      <c r="F15" s="25" t="s">
        <v>203</v>
      </c>
      <c r="G15" s="54">
        <v>1520</v>
      </c>
      <c r="H15" s="51">
        <v>1010</v>
      </c>
      <c r="I15" s="51">
        <v>10</v>
      </c>
      <c r="J15" s="51">
        <v>4</v>
      </c>
      <c r="K15" s="51">
        <v>2</v>
      </c>
    </row>
    <row r="16" spans="1:11" ht="28.5" customHeight="1" x14ac:dyDescent="0.35">
      <c r="A16" s="60">
        <v>0</v>
      </c>
      <c r="B16" s="60">
        <v>0</v>
      </c>
      <c r="C16" s="60">
        <v>0</v>
      </c>
      <c r="D16" s="60">
        <v>0</v>
      </c>
      <c r="E16" s="62">
        <v>0</v>
      </c>
      <c r="F16" s="25" t="s">
        <v>204</v>
      </c>
      <c r="G16" s="54">
        <v>1620</v>
      </c>
      <c r="H16" s="51">
        <v>1010</v>
      </c>
      <c r="I16" s="51">
        <v>10</v>
      </c>
      <c r="J16" s="51">
        <v>4</v>
      </c>
      <c r="K16" s="51">
        <v>2</v>
      </c>
    </row>
    <row r="17" spans="1:11" ht="28.5" customHeight="1" x14ac:dyDescent="0.35">
      <c r="A17" s="60">
        <v>0</v>
      </c>
      <c r="B17" s="60">
        <v>400000</v>
      </c>
      <c r="C17" s="60">
        <v>0</v>
      </c>
      <c r="D17" s="60">
        <v>0</v>
      </c>
      <c r="E17" s="62">
        <v>400000</v>
      </c>
      <c r="F17" s="71" t="s">
        <v>205</v>
      </c>
      <c r="G17" s="54">
        <v>2120</v>
      </c>
      <c r="H17" s="51">
        <v>1010</v>
      </c>
      <c r="I17" s="51">
        <v>10</v>
      </c>
      <c r="J17" s="51">
        <v>4</v>
      </c>
      <c r="K17" s="51">
        <v>2</v>
      </c>
    </row>
    <row r="18" spans="1:11" ht="28.5" customHeight="1" x14ac:dyDescent="0.35">
      <c r="A18" s="60">
        <v>0</v>
      </c>
      <c r="B18" s="60">
        <v>63000</v>
      </c>
      <c r="C18" s="60">
        <v>0</v>
      </c>
      <c r="D18" s="60">
        <v>61702.92</v>
      </c>
      <c r="E18" s="62">
        <v>63000</v>
      </c>
      <c r="F18" s="71" t="s">
        <v>206</v>
      </c>
      <c r="G18" s="54">
        <v>2220</v>
      </c>
      <c r="H18" s="51">
        <v>1010</v>
      </c>
      <c r="I18" s="51">
        <v>10</v>
      </c>
      <c r="J18" s="51">
        <v>4</v>
      </c>
      <c r="K18" s="51">
        <v>2</v>
      </c>
    </row>
    <row r="19" spans="1:11" ht="28.5" customHeight="1" x14ac:dyDescent="0.35">
      <c r="A19" s="60">
        <v>0</v>
      </c>
      <c r="B19" s="60">
        <v>5656</v>
      </c>
      <c r="C19" s="60">
        <v>31344</v>
      </c>
      <c r="D19" s="60">
        <v>31344</v>
      </c>
      <c r="E19" s="62">
        <v>37000</v>
      </c>
      <c r="F19" s="71" t="s">
        <v>207</v>
      </c>
      <c r="G19" s="54">
        <v>2320</v>
      </c>
      <c r="H19" s="51">
        <v>1010</v>
      </c>
      <c r="I19" s="51">
        <v>10</v>
      </c>
      <c r="J19" s="51">
        <v>4</v>
      </c>
      <c r="K19" s="51">
        <v>2</v>
      </c>
    </row>
    <row r="20" spans="1:11" ht="28.5" customHeight="1" x14ac:dyDescent="0.35">
      <c r="A20" s="60">
        <v>0</v>
      </c>
      <c r="B20" s="60">
        <v>13969.47</v>
      </c>
      <c r="C20" s="60">
        <v>504626.64</v>
      </c>
      <c r="D20" s="60">
        <v>504626.64</v>
      </c>
      <c r="E20" s="62">
        <v>518596.11</v>
      </c>
      <c r="F20" s="25" t="s">
        <v>208</v>
      </c>
      <c r="G20" s="56" t="s">
        <v>209</v>
      </c>
      <c r="H20" s="56" t="s">
        <v>210</v>
      </c>
      <c r="I20" s="56" t="s">
        <v>211</v>
      </c>
      <c r="J20" s="54">
        <v>4</v>
      </c>
      <c r="K20" s="51">
        <v>2</v>
      </c>
    </row>
    <row r="21" spans="1:11" ht="28.5" customHeight="1" x14ac:dyDescent="0.35">
      <c r="A21" s="60">
        <v>0</v>
      </c>
      <c r="B21" s="60">
        <v>400000</v>
      </c>
      <c r="C21" s="60">
        <v>0</v>
      </c>
      <c r="D21" s="60">
        <v>0</v>
      </c>
      <c r="E21" s="62">
        <v>400000</v>
      </c>
      <c r="F21" s="25" t="s">
        <v>212</v>
      </c>
      <c r="G21" s="56" t="s">
        <v>213</v>
      </c>
      <c r="H21" s="56" t="s">
        <v>214</v>
      </c>
      <c r="I21" s="56" t="s">
        <v>215</v>
      </c>
      <c r="J21" s="54">
        <v>4</v>
      </c>
      <c r="K21" s="51">
        <v>2</v>
      </c>
    </row>
    <row r="22" spans="1:11" ht="28.5" customHeight="1" x14ac:dyDescent="0.35">
      <c r="A22" s="60">
        <v>0</v>
      </c>
      <c r="B22" s="60">
        <v>0</v>
      </c>
      <c r="C22" s="60">
        <v>0</v>
      </c>
      <c r="D22" s="60">
        <v>0</v>
      </c>
      <c r="E22" s="62">
        <v>0</v>
      </c>
      <c r="F22" s="25" t="s">
        <v>216</v>
      </c>
      <c r="G22" s="56" t="s">
        <v>217</v>
      </c>
      <c r="H22" s="56" t="s">
        <v>218</v>
      </c>
      <c r="I22" s="56" t="s">
        <v>215</v>
      </c>
      <c r="J22" s="54">
        <v>4</v>
      </c>
      <c r="K22" s="51">
        <v>2</v>
      </c>
    </row>
    <row r="23" spans="1:11" ht="28.5" customHeight="1" x14ac:dyDescent="0.35">
      <c r="A23" s="60">
        <v>0</v>
      </c>
      <c r="B23" s="60">
        <v>700000</v>
      </c>
      <c r="C23" s="60">
        <v>0</v>
      </c>
      <c r="D23" s="60">
        <v>0</v>
      </c>
      <c r="E23" s="62">
        <v>700000</v>
      </c>
      <c r="F23" s="25" t="s">
        <v>219</v>
      </c>
      <c r="G23" s="56" t="s">
        <v>220</v>
      </c>
      <c r="H23" s="56" t="s">
        <v>210</v>
      </c>
      <c r="I23" s="56" t="s">
        <v>215</v>
      </c>
      <c r="J23" s="54">
        <v>4</v>
      </c>
      <c r="K23" s="51">
        <v>2</v>
      </c>
    </row>
    <row r="24" spans="1:11" ht="28.5" customHeight="1" x14ac:dyDescent="0.35">
      <c r="A24" s="60">
        <v>0</v>
      </c>
      <c r="B24" s="60">
        <v>1142318.51</v>
      </c>
      <c r="C24" s="60">
        <v>0</v>
      </c>
      <c r="D24" s="60">
        <v>0</v>
      </c>
      <c r="E24" s="62">
        <v>1142318.51</v>
      </c>
      <c r="F24" s="25" t="s">
        <v>221</v>
      </c>
      <c r="G24" s="54">
        <v>1110</v>
      </c>
      <c r="H24" s="54">
        <v>1010</v>
      </c>
      <c r="I24" s="54">
        <v>30</v>
      </c>
      <c r="J24" s="54">
        <v>4</v>
      </c>
      <c r="K24" s="51">
        <v>2</v>
      </c>
    </row>
    <row r="25" spans="1:11" ht="28.5" customHeight="1" x14ac:dyDescent="0.35">
      <c r="A25" s="60">
        <v>0</v>
      </c>
      <c r="B25" s="60">
        <v>873291.47</v>
      </c>
      <c r="C25" s="60">
        <v>70548</v>
      </c>
      <c r="D25" s="60">
        <v>415027.37</v>
      </c>
      <c r="E25" s="62">
        <v>943839.47</v>
      </c>
      <c r="F25" s="43" t="s">
        <v>222</v>
      </c>
      <c r="G25" s="54">
        <v>1210</v>
      </c>
      <c r="H25" s="54">
        <v>1010</v>
      </c>
      <c r="I25" s="54">
        <v>30</v>
      </c>
      <c r="J25" s="54">
        <v>4</v>
      </c>
      <c r="K25" s="51">
        <v>2</v>
      </c>
    </row>
    <row r="26" spans="1:11" ht="28.5" customHeight="1" x14ac:dyDescent="0.35">
      <c r="A26" s="60">
        <v>0</v>
      </c>
      <c r="B26" s="60">
        <v>1646698.64</v>
      </c>
      <c r="C26" s="60">
        <v>0</v>
      </c>
      <c r="D26" s="60">
        <v>0</v>
      </c>
      <c r="E26" s="62">
        <v>1646698.64</v>
      </c>
      <c r="F26" s="57" t="s">
        <v>223</v>
      </c>
      <c r="G26" s="54">
        <v>1310</v>
      </c>
      <c r="H26" s="54">
        <v>2020</v>
      </c>
      <c r="I26" s="54">
        <v>30</v>
      </c>
      <c r="J26" s="54">
        <v>4</v>
      </c>
      <c r="K26" s="51">
        <v>2</v>
      </c>
    </row>
    <row r="27" spans="1:11" ht="28.5" customHeight="1" x14ac:dyDescent="0.35">
      <c r="A27" s="60">
        <v>0</v>
      </c>
      <c r="B27" s="60">
        <v>287706.14</v>
      </c>
      <c r="C27" s="60">
        <v>0</v>
      </c>
      <c r="D27" s="60">
        <v>180210.98</v>
      </c>
      <c r="E27" s="62">
        <v>287706.14</v>
      </c>
      <c r="F27" s="57" t="s">
        <v>224</v>
      </c>
      <c r="G27" s="54">
        <v>2110</v>
      </c>
      <c r="H27" s="54">
        <v>2020</v>
      </c>
      <c r="I27" s="54">
        <v>30</v>
      </c>
      <c r="J27" s="54">
        <v>4</v>
      </c>
      <c r="K27" s="51">
        <v>2</v>
      </c>
    </row>
    <row r="28" spans="1:11" ht="28.5" customHeight="1" x14ac:dyDescent="0.35">
      <c r="A28" s="60">
        <v>0</v>
      </c>
      <c r="B28" s="62">
        <v>2026734.46</v>
      </c>
      <c r="C28" s="62">
        <v>1245865.1599999999</v>
      </c>
      <c r="D28" s="62">
        <v>1653732.84</v>
      </c>
      <c r="E28" s="62">
        <v>3272599.62</v>
      </c>
      <c r="F28" s="43" t="s">
        <v>225</v>
      </c>
      <c r="G28" s="54">
        <v>1120</v>
      </c>
      <c r="H28" s="54">
        <v>2020</v>
      </c>
      <c r="I28" s="54">
        <v>30</v>
      </c>
      <c r="J28" s="54">
        <v>4</v>
      </c>
      <c r="K28" s="51">
        <v>2</v>
      </c>
    </row>
    <row r="29" spans="1:11" ht="28.5" customHeight="1" x14ac:dyDescent="0.35">
      <c r="A29" s="60">
        <v>0</v>
      </c>
      <c r="B29" s="62">
        <v>246300</v>
      </c>
      <c r="C29" s="62">
        <v>53700</v>
      </c>
      <c r="D29" s="62">
        <v>53700</v>
      </c>
      <c r="E29" s="62">
        <v>300000</v>
      </c>
      <c r="F29" s="25" t="s">
        <v>226</v>
      </c>
      <c r="G29" s="58">
        <v>1420</v>
      </c>
      <c r="H29" s="54">
        <v>2020</v>
      </c>
      <c r="I29" s="54">
        <v>30</v>
      </c>
      <c r="J29" s="54">
        <v>4</v>
      </c>
      <c r="K29" s="51">
        <v>2</v>
      </c>
    </row>
    <row r="30" spans="1:11" ht="28.5" customHeight="1" x14ac:dyDescent="0.35">
      <c r="A30" s="60">
        <v>0</v>
      </c>
      <c r="B30" s="62">
        <v>175675.19</v>
      </c>
      <c r="C30" s="62">
        <v>0</v>
      </c>
      <c r="D30" s="62">
        <v>0</v>
      </c>
      <c r="E30" s="62">
        <v>175675.19</v>
      </c>
      <c r="F30" s="52" t="s">
        <v>227</v>
      </c>
      <c r="G30" s="58">
        <v>1520</v>
      </c>
      <c r="H30" s="54">
        <v>2020</v>
      </c>
      <c r="I30" s="54">
        <v>30</v>
      </c>
      <c r="J30" s="54">
        <v>4</v>
      </c>
      <c r="K30" s="51">
        <v>2</v>
      </c>
    </row>
    <row r="31" spans="1:11" ht="28.5" customHeight="1" x14ac:dyDescent="0.35">
      <c r="A31" s="60">
        <v>0</v>
      </c>
      <c r="B31" s="62">
        <v>101827.26</v>
      </c>
      <c r="C31" s="62">
        <v>0</v>
      </c>
      <c r="D31" s="62">
        <v>0</v>
      </c>
      <c r="E31" s="62">
        <v>101827.26</v>
      </c>
      <c r="F31" s="52" t="s">
        <v>228</v>
      </c>
      <c r="G31" s="58">
        <v>3120</v>
      </c>
      <c r="H31" s="54">
        <v>2020</v>
      </c>
      <c r="I31" s="54">
        <v>30</v>
      </c>
      <c r="J31" s="54">
        <v>4</v>
      </c>
      <c r="K31" s="54">
        <v>2</v>
      </c>
    </row>
    <row r="32" spans="1:11" ht="28.5" customHeight="1" x14ac:dyDescent="0.35">
      <c r="A32" s="60">
        <v>0</v>
      </c>
      <c r="B32" s="62">
        <v>391640.53</v>
      </c>
      <c r="C32" s="62">
        <v>0</v>
      </c>
      <c r="D32" s="62">
        <v>6742.53</v>
      </c>
      <c r="E32" s="62">
        <v>391640.53</v>
      </c>
      <c r="F32" s="52" t="s">
        <v>229</v>
      </c>
      <c r="G32" s="58">
        <v>2130</v>
      </c>
      <c r="H32" s="54">
        <v>2020</v>
      </c>
      <c r="I32" s="54">
        <v>30</v>
      </c>
      <c r="J32" s="54">
        <v>4</v>
      </c>
      <c r="K32" s="51">
        <v>2</v>
      </c>
    </row>
    <row r="33" spans="1:13" ht="28.5" customHeight="1" x14ac:dyDescent="0.35">
      <c r="A33" s="60">
        <v>0</v>
      </c>
      <c r="B33" s="62">
        <v>200000</v>
      </c>
      <c r="C33" s="62">
        <v>0</v>
      </c>
      <c r="D33" s="62">
        <v>0</v>
      </c>
      <c r="E33" s="62">
        <v>200000</v>
      </c>
      <c r="F33" s="52" t="s">
        <v>230</v>
      </c>
      <c r="G33" s="58">
        <v>1130</v>
      </c>
      <c r="H33" s="54">
        <v>2020</v>
      </c>
      <c r="I33" s="54">
        <v>30</v>
      </c>
      <c r="J33" s="54">
        <v>4</v>
      </c>
      <c r="K33" s="51">
        <v>2</v>
      </c>
    </row>
    <row r="34" spans="1:13" ht="28.5" customHeight="1" x14ac:dyDescent="0.35">
      <c r="A34" s="60">
        <v>0</v>
      </c>
      <c r="B34" s="62">
        <v>220000</v>
      </c>
      <c r="C34" s="62">
        <v>282600</v>
      </c>
      <c r="D34" s="62">
        <v>32620</v>
      </c>
      <c r="E34" s="62">
        <v>502600</v>
      </c>
      <c r="F34" s="52" t="s">
        <v>231</v>
      </c>
      <c r="G34" s="58">
        <v>1021</v>
      </c>
      <c r="H34" s="54">
        <v>1010</v>
      </c>
      <c r="I34" s="54">
        <v>40</v>
      </c>
      <c r="J34" s="54">
        <v>4</v>
      </c>
      <c r="K34" s="51">
        <v>2</v>
      </c>
    </row>
    <row r="35" spans="1:13" ht="28.5" customHeight="1" x14ac:dyDescent="0.35">
      <c r="A35" s="60">
        <v>0</v>
      </c>
      <c r="B35" s="62">
        <v>0</v>
      </c>
      <c r="C35" s="62">
        <v>0</v>
      </c>
      <c r="D35" s="62">
        <v>0</v>
      </c>
      <c r="E35" s="62">
        <v>0</v>
      </c>
      <c r="F35" s="43" t="s">
        <v>232</v>
      </c>
      <c r="G35" s="58">
        <v>1310</v>
      </c>
      <c r="H35" s="58">
        <v>3030</v>
      </c>
      <c r="I35" s="58">
        <v>40</v>
      </c>
      <c r="J35" s="58">
        <v>4</v>
      </c>
      <c r="K35" s="51">
        <v>2</v>
      </c>
    </row>
    <row r="36" spans="1:13" ht="28.5" customHeight="1" x14ac:dyDescent="0.35">
      <c r="A36" s="60">
        <v>0</v>
      </c>
      <c r="B36" s="62">
        <v>97503.25</v>
      </c>
      <c r="C36" s="62">
        <v>0</v>
      </c>
      <c r="D36" s="62">
        <v>66966.84</v>
      </c>
      <c r="E36" s="62">
        <v>97503.25</v>
      </c>
      <c r="F36" s="43" t="s">
        <v>231</v>
      </c>
      <c r="G36" s="58">
        <v>2110</v>
      </c>
      <c r="H36" s="58">
        <v>3030</v>
      </c>
      <c r="I36" s="58">
        <v>40</v>
      </c>
      <c r="J36" s="58">
        <v>4</v>
      </c>
      <c r="K36" s="51">
        <v>2</v>
      </c>
    </row>
    <row r="37" spans="1:13" ht="28.5" customHeight="1" x14ac:dyDescent="0.35">
      <c r="A37" s="60">
        <v>0</v>
      </c>
      <c r="B37" s="62">
        <v>0</v>
      </c>
      <c r="C37" s="62">
        <v>0</v>
      </c>
      <c r="D37" s="62">
        <v>0</v>
      </c>
      <c r="E37" s="62">
        <v>0</v>
      </c>
      <c r="F37" s="26" t="s">
        <v>233</v>
      </c>
      <c r="G37" s="58">
        <v>3210</v>
      </c>
      <c r="H37" s="58">
        <v>3030</v>
      </c>
      <c r="I37" s="58">
        <v>40</v>
      </c>
      <c r="J37" s="58">
        <v>4</v>
      </c>
      <c r="K37" s="51">
        <v>2</v>
      </c>
    </row>
    <row r="38" spans="1:13" ht="28.5" customHeight="1" x14ac:dyDescent="0.35">
      <c r="A38" s="60">
        <v>0</v>
      </c>
      <c r="B38" s="60">
        <v>300000</v>
      </c>
      <c r="C38" s="60">
        <v>0</v>
      </c>
      <c r="D38" s="60">
        <v>0</v>
      </c>
      <c r="E38" s="62">
        <v>300000</v>
      </c>
      <c r="F38" s="26" t="s">
        <v>234</v>
      </c>
      <c r="G38" s="54">
        <v>1110</v>
      </c>
      <c r="H38" s="54">
        <v>3030</v>
      </c>
      <c r="I38" s="54">
        <v>50</v>
      </c>
      <c r="J38" s="54">
        <v>4</v>
      </c>
      <c r="K38" s="51">
        <v>2</v>
      </c>
    </row>
    <row r="39" spans="1:13" ht="28.5" customHeight="1" x14ac:dyDescent="0.35">
      <c r="A39" s="60">
        <v>0</v>
      </c>
      <c r="B39" s="60">
        <v>200000</v>
      </c>
      <c r="C39" s="60">
        <v>0</v>
      </c>
      <c r="D39" s="60">
        <v>0</v>
      </c>
      <c r="E39" s="62">
        <v>200000</v>
      </c>
      <c r="F39" s="26" t="s">
        <v>234</v>
      </c>
      <c r="G39" s="54">
        <v>1210</v>
      </c>
      <c r="H39" s="54">
        <v>3030</v>
      </c>
      <c r="I39" s="54">
        <v>50</v>
      </c>
      <c r="J39" s="54">
        <v>4</v>
      </c>
      <c r="K39" s="51">
        <v>2</v>
      </c>
    </row>
    <row r="40" spans="1:13" ht="36" customHeight="1" x14ac:dyDescent="0.35">
      <c r="A40" s="60">
        <v>0</v>
      </c>
      <c r="B40" s="60">
        <v>0</v>
      </c>
      <c r="C40" s="60">
        <v>0</v>
      </c>
      <c r="D40" s="60">
        <v>0</v>
      </c>
      <c r="E40" s="62">
        <v>0</v>
      </c>
      <c r="F40" s="43" t="s">
        <v>235</v>
      </c>
      <c r="G40" s="54">
        <v>4130</v>
      </c>
      <c r="H40" s="54">
        <v>3030</v>
      </c>
      <c r="I40" s="54">
        <v>50</v>
      </c>
      <c r="J40" s="54">
        <v>4</v>
      </c>
      <c r="K40" s="51">
        <v>2</v>
      </c>
    </row>
    <row r="41" spans="1:13" ht="28.5" customHeight="1" x14ac:dyDescent="0.35">
      <c r="A41" s="60">
        <v>0</v>
      </c>
      <c r="B41" s="60">
        <v>0</v>
      </c>
      <c r="C41" s="60">
        <v>0</v>
      </c>
      <c r="D41" s="60">
        <v>0</v>
      </c>
      <c r="E41" s="62">
        <v>0</v>
      </c>
      <c r="F41" s="25" t="s">
        <v>236</v>
      </c>
      <c r="G41" s="54">
        <v>5530</v>
      </c>
      <c r="H41" s="54">
        <v>3030</v>
      </c>
      <c r="I41" s="54">
        <v>50</v>
      </c>
      <c r="J41" s="54">
        <v>4</v>
      </c>
      <c r="K41" s="51">
        <v>2</v>
      </c>
    </row>
    <row r="42" spans="1:13" ht="28.5" customHeight="1" x14ac:dyDescent="0.35">
      <c r="A42" s="60">
        <v>0</v>
      </c>
      <c r="B42" s="60">
        <v>0</v>
      </c>
      <c r="C42" s="60">
        <v>0</v>
      </c>
      <c r="D42" s="60">
        <v>0</v>
      </c>
      <c r="E42" s="60">
        <v>0</v>
      </c>
      <c r="F42" s="43" t="s">
        <v>237</v>
      </c>
      <c r="G42" s="54">
        <v>1210</v>
      </c>
      <c r="H42" s="54">
        <v>1010</v>
      </c>
      <c r="I42" s="54">
        <v>60</v>
      </c>
      <c r="J42" s="54">
        <v>4</v>
      </c>
      <c r="K42" s="51">
        <v>2</v>
      </c>
    </row>
    <row r="43" spans="1:13" ht="42" customHeight="1" x14ac:dyDescent="0.35">
      <c r="A43" s="63">
        <v>0</v>
      </c>
      <c r="B43" s="64">
        <v>9980398.9199999999</v>
      </c>
      <c r="C43" s="64">
        <v>2188683.7999999998</v>
      </c>
      <c r="D43" s="64">
        <v>3006674.12</v>
      </c>
      <c r="E43" s="64">
        <v>12169082.720000001</v>
      </c>
      <c r="F43" s="129" t="s">
        <v>238</v>
      </c>
      <c r="G43" s="130"/>
      <c r="H43" s="130"/>
      <c r="I43" s="130"/>
      <c r="J43" s="130"/>
      <c r="K43" s="131"/>
    </row>
    <row r="44" spans="1:13" ht="28.5" customHeight="1" x14ac:dyDescent="0.35">
      <c r="M44" s="65"/>
    </row>
    <row r="45" spans="1:13" ht="28.5" customHeight="1" x14ac:dyDescent="0.35">
      <c r="C45" s="20" t="s">
        <v>239</v>
      </c>
      <c r="J45" s="19" t="s">
        <v>240</v>
      </c>
      <c r="M45" s="66" t="str">
        <f>#REF!</f>
        <v>0</v>
      </c>
    </row>
    <row r="46" spans="1:13" ht="28.5" customHeight="1" x14ac:dyDescent="0.35">
      <c r="C46" s="19" t="s">
        <v>241</v>
      </c>
      <c r="J46" s="19" t="s">
        <v>114</v>
      </c>
      <c r="M46" s="66" t="str">
        <f>#REF!</f>
        <v>0</v>
      </c>
    </row>
    <row r="47" spans="1:13" ht="28.5" customHeight="1" x14ac:dyDescent="0.35">
      <c r="M47" s="66" t="str">
        <f>#REF!</f>
        <v>0</v>
      </c>
    </row>
    <row r="48" spans="1:13" ht="28.5" customHeight="1" x14ac:dyDescent="0.35">
      <c r="M48" s="66" t="str">
        <f>#REF!</f>
        <v>0</v>
      </c>
    </row>
    <row r="49" spans="1:13" ht="28.5" customHeight="1" x14ac:dyDescent="0.35">
      <c r="A49" s="66"/>
      <c r="D49" s="65"/>
      <c r="M49" s="40">
        <v>11399124.67</v>
      </c>
    </row>
    <row r="50" spans="1:13" ht="28.5" customHeight="1" x14ac:dyDescent="0.35">
      <c r="F50" s="65"/>
      <c r="L50" t="s">
        <v>242</v>
      </c>
      <c r="M50" s="65">
        <f>E43-M49</f>
        <v>769958.05</v>
      </c>
    </row>
    <row r="51" spans="1:13" ht="28.5" customHeight="1" x14ac:dyDescent="0.35">
      <c r="M51" s="40">
        <v>1180196.73</v>
      </c>
    </row>
    <row r="55" spans="1:13" ht="28.5" customHeight="1" x14ac:dyDescent="0.35">
      <c r="H55" s="128" t="str">
        <f>#REF!</f>
        <v>0</v>
      </c>
      <c r="I55" s="128"/>
      <c r="J55" s="128"/>
      <c r="K55" s="128"/>
    </row>
    <row r="56" spans="1:13" ht="28.5" customHeight="1" x14ac:dyDescent="0.35">
      <c r="I56" s="66" t="str">
        <f>H55-E43</f>
        <v>0</v>
      </c>
      <c r="L56" s="66" t="str">
        <f>H55-E43</f>
        <v>0</v>
      </c>
    </row>
  </sheetData>
  <mergeCells count="15">
    <mergeCell ref="H55:K55"/>
    <mergeCell ref="F43:K43"/>
    <mergeCell ref="G1:K1"/>
    <mergeCell ref="G2:K2"/>
    <mergeCell ref="G3:K3"/>
    <mergeCell ref="G4:K4"/>
    <mergeCell ref="G5:K5"/>
    <mergeCell ref="A7:A8"/>
    <mergeCell ref="C4:E4"/>
    <mergeCell ref="F7:K8"/>
    <mergeCell ref="E7:E8"/>
    <mergeCell ref="D7:D8"/>
    <mergeCell ref="C7:C8"/>
    <mergeCell ref="B7:B8"/>
    <mergeCell ref="B5:C5"/>
  </mergeCells>
  <pageMargins left="0.11811023622047" right="0.11811023622047" top="0.26" bottom="0" header="0.11811023622047" footer="0.31496062992126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قائمة الموارد المالية</vt:lpstr>
      <vt:lpstr>قائمة مصاريف التسيير</vt:lpstr>
      <vt:lpstr>قائمة مصاريف التجهيز</vt:lpstr>
      <vt:lpstr>'قائمة الموارد المالية'!Zone_d_impression</vt:lpstr>
      <vt:lpstr>'قائمة مصاريف التجهيز'!Zone_d_impression</vt:lpstr>
      <vt:lpstr>'قائمة مصاريف التسيير'!Zone_d_impression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Munidepense</dc:creator>
  <cp:keywords/>
  <dc:description/>
  <cp:lastModifiedBy>univers</cp:lastModifiedBy>
  <dcterms:created xsi:type="dcterms:W3CDTF">2017-12-26T11:10:41Z</dcterms:created>
  <dcterms:modified xsi:type="dcterms:W3CDTF">2026-07-07T11:33:18Z</dcterms:modified>
  <cp:category/>
</cp:coreProperties>
</file>